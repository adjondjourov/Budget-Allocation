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atanas_djondjourov_vub_be/Documents/Bureau/3. Research/3. Mil Budget/5. Analysis/20261205 - Uploaded in GitHub/"/>
    </mc:Choice>
  </mc:AlternateContent>
  <xr:revisionPtr revIDLastSave="297" documentId="8_{3D6FB339-01D0-4E10-8B3E-3DE908146813}" xr6:coauthVersionLast="47" xr6:coauthVersionMax="47" xr10:uidLastSave="{F97FDAD4-1292-43FB-B02E-B731689887FE}"/>
  <bookViews>
    <workbookView minimized="1" xWindow="1920" yWindow="1920" windowWidth="17280" windowHeight="8880" xr2:uid="{77D3AE0E-8E2E-486B-B31A-67AAA5A21227}"/>
  </bookViews>
  <sheets>
    <sheet name="Graphs" sheetId="11" r:id="rId1"/>
    <sheet name="Base runs" sheetId="5" r:id="rId2"/>
    <sheet name="EU_j" sheetId="8" r:id="rId3"/>
    <sheet name="P_i" sheetId="9" r:id="rId4"/>
    <sheet name="Specific Runs" sheetId="10" r:id="rId5"/>
    <sheet name="Scenario 2 Increased Risk Ap" sheetId="12" r:id="rId6"/>
    <sheet name="Decreased Pi 025" sheetId="18" r:id="rId7"/>
    <sheet name="Increased Pi 075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8" l="1"/>
  <c r="H6" i="18"/>
  <c r="H5" i="18"/>
  <c r="I5" i="18"/>
  <c r="J5" i="18"/>
  <c r="K5" i="18"/>
  <c r="I4" i="18"/>
  <c r="J4" i="18"/>
  <c r="K4" i="18"/>
  <c r="H4" i="18"/>
  <c r="L112" i="18"/>
  <c r="L113" i="18" s="1"/>
  <c r="K112" i="18"/>
  <c r="K113" i="18" s="1"/>
  <c r="J112" i="18"/>
  <c r="J113" i="18" s="1"/>
  <c r="I112" i="18"/>
  <c r="I113" i="18" s="1"/>
  <c r="K3" i="18"/>
  <c r="J3" i="18"/>
  <c r="I3" i="18"/>
  <c r="H3" i="18"/>
  <c r="K104" i="9" l="1"/>
  <c r="L104" i="9"/>
  <c r="M104" i="9"/>
  <c r="J104" i="9"/>
  <c r="L112" i="13" l="1"/>
  <c r="L113" i="13" s="1"/>
  <c r="K112" i="13"/>
  <c r="K113" i="13" s="1"/>
  <c r="J112" i="13"/>
  <c r="J113" i="13" s="1"/>
  <c r="I112" i="13"/>
  <c r="I113" i="13" s="1"/>
  <c r="K6" i="13"/>
  <c r="J6" i="13"/>
  <c r="I6" i="13"/>
  <c r="H6" i="13"/>
  <c r="H5" i="13"/>
  <c r="I5" i="13"/>
  <c r="J5" i="13"/>
  <c r="K5" i="13"/>
  <c r="K4" i="13"/>
  <c r="J4" i="13"/>
  <c r="I4" i="13"/>
  <c r="H4" i="13"/>
  <c r="K3" i="13"/>
  <c r="J3" i="13"/>
  <c r="I3" i="13"/>
  <c r="H3" i="13"/>
  <c r="I3" i="12"/>
  <c r="J3" i="12"/>
  <c r="K3" i="12"/>
  <c r="H3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6" i="12"/>
  <c r="C106" i="9"/>
  <c r="B106" i="9"/>
  <c r="H105" i="9"/>
  <c r="H106" i="9" s="1"/>
  <c r="G105" i="9"/>
  <c r="G106" i="9" s="1"/>
  <c r="F105" i="9"/>
  <c r="F106" i="9" s="1"/>
  <c r="E105" i="9"/>
  <c r="E106" i="9" s="1"/>
  <c r="D105" i="9"/>
  <c r="D106" i="9" s="1"/>
  <c r="C105" i="9"/>
  <c r="B105" i="9"/>
  <c r="C105" i="8"/>
  <c r="C106" i="8" s="1"/>
  <c r="D105" i="8"/>
  <c r="E105" i="8"/>
  <c r="E106" i="8" s="1"/>
  <c r="F105" i="8"/>
  <c r="G105" i="8"/>
  <c r="H105" i="8"/>
  <c r="H106" i="8" s="1"/>
  <c r="D106" i="8"/>
  <c r="F106" i="8"/>
  <c r="G106" i="8"/>
  <c r="B106" i="8"/>
  <c r="B105" i="8"/>
  <c r="K3" i="5" l="1"/>
  <c r="J3" i="5"/>
  <c r="H3" i="5"/>
  <c r="I3" i="5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6" i="12"/>
  <c r="K6" i="5"/>
  <c r="J6" i="5"/>
  <c r="I6" i="5"/>
  <c r="H6" i="5"/>
  <c r="K5" i="5"/>
  <c r="J5" i="5"/>
  <c r="I5" i="5"/>
  <c r="H5" i="5"/>
  <c r="K4" i="5"/>
  <c r="J4" i="5"/>
  <c r="I4" i="5"/>
  <c r="H4" i="5"/>
</calcChain>
</file>

<file path=xl/sharedStrings.xml><?xml version="1.0" encoding="utf-8"?>
<sst xmlns="http://schemas.openxmlformats.org/spreadsheetml/2006/main" count="188" uniqueCount="48">
  <si>
    <t>x_i</t>
  </si>
  <si>
    <t>y_i</t>
  </si>
  <si>
    <t>x_j</t>
  </si>
  <si>
    <t>y_j</t>
  </si>
  <si>
    <t>Resolve</t>
  </si>
  <si>
    <t>Pi</t>
  </si>
  <si>
    <t>Pj</t>
  </si>
  <si>
    <t>Qi</t>
  </si>
  <si>
    <t>Qj</t>
  </si>
  <si>
    <t>Budget</t>
  </si>
  <si>
    <t>ST1</t>
  </si>
  <si>
    <t>ST</t>
  </si>
  <si>
    <t>Scenario Number</t>
  </si>
  <si>
    <t>Risk Aversion</t>
  </si>
  <si>
    <t>Base Run</t>
  </si>
  <si>
    <t>EU_j</t>
  </si>
  <si>
    <t>Final level</t>
  </si>
  <si>
    <t>Flow</t>
  </si>
  <si>
    <t>Old number</t>
  </si>
  <si>
    <t>Risk Aversion = 1</t>
  </si>
  <si>
    <t>Risk Aversion = 2</t>
  </si>
  <si>
    <t>Scenario 1</t>
  </si>
  <si>
    <t>Scenario 2</t>
  </si>
  <si>
    <t>Scenario 3</t>
  </si>
  <si>
    <t>Scenario 4</t>
  </si>
  <si>
    <t>Scenario 5</t>
  </si>
  <si>
    <t>Scenario 6</t>
  </si>
  <si>
    <t>x_i_0</t>
  </si>
  <si>
    <t>y_i_0</t>
  </si>
  <si>
    <t>x_j_0</t>
  </si>
  <si>
    <t>y_j_0</t>
  </si>
  <si>
    <t>x_j_final</t>
  </si>
  <si>
    <t>y_j_final</t>
  </si>
  <si>
    <t>x_i_final (best resp)</t>
  </si>
  <si>
    <t>y_i_final (best resp)</t>
  </si>
  <si>
    <t>Nash</t>
  </si>
  <si>
    <t>x_i_nash</t>
  </si>
  <si>
    <t>y_i_nash</t>
  </si>
  <si>
    <t>x_j_nash</t>
  </si>
  <si>
    <t>y_j_nash</t>
  </si>
  <si>
    <t>Scenario 7</t>
  </si>
  <si>
    <t>P_i Best Respo</t>
  </si>
  <si>
    <t>P_i_Nash</t>
  </si>
  <si>
    <t>scenario number</t>
  </si>
  <si>
    <t>Final level (Specific flow for challenger)</t>
  </si>
  <si>
    <t>check</t>
  </si>
  <si>
    <t>Nash P_i</t>
  </si>
  <si>
    <t>Custom Flow P_i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</si>
</sst>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/>
    <xf numFmtId="9" fontId="0" fillId="0" borderId="0" xfId="1" applyFont="1"/>
    <xf numFmtId="9" fontId="0" fillId="0" borderId="0" xfId="1" applyFont="1" applyAlignment="1">
      <alignment horizontal="center"/>
    </xf>
    <xf numFmtId="9" fontId="0" fillId="0" borderId="5" xfId="1" applyFont="1" applyBorder="1"/>
    <xf numFmtId="9" fontId="0" fillId="0" borderId="2" xfId="1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1" applyFont="1" applyFill="1" applyBorder="1"/>
    <xf numFmtId="9" fontId="0" fillId="0" borderId="0" xfId="0" applyNumberFormat="1"/>
    <xf numFmtId="0" fontId="1" fillId="0" borderId="0" xfId="0" applyFont="1"/>
    <xf numFmtId="9" fontId="3" fillId="0" borderId="2" xfId="0" applyNumberFormat="1" applyFont="1" applyBorder="1"/>
    <xf numFmtId="10" fontId="0" fillId="0" borderId="0" xfId="1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0" fontId="3" fillId="0" borderId="4" xfId="0" applyFont="1" applyBorder="1" applyAlignment="1">
      <alignment horizontal="center"/>
    </xf>
    <xf numFmtId="9" fontId="3" fillId="0" borderId="2" xfId="1" applyFont="1" applyBorder="1"/>
    <xf numFmtId="0" fontId="1" fillId="0" borderId="0" xfId="0" applyFont="1" applyAlignment="1">
      <alignment horizontal="center"/>
    </xf>
    <xf numFmtId="11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64" fontId="0" fillId="0" borderId="0" xfId="0" applyNumberFormat="1"/>
    <xf numFmtId="164" fontId="0" fillId="0" borderId="3" xfId="0" applyNumberFormat="1" applyBorder="1"/>
    <xf numFmtId="164" fontId="3" fillId="0" borderId="4" xfId="0" applyNumberFormat="1" applyFont="1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Defender</a:t>
            </a:r>
            <a:r>
              <a:rPr lang="fr-BE" baseline="0"/>
              <a:t> Probability Density P</a:t>
            </a:r>
            <a:r>
              <a:rPr lang="fr-BE" baseline="-25000"/>
              <a:t>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P_i!$A$3:$A$102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P_i!$C$3:$C$102</c:f>
              <c:numCache>
                <c:formatCode>General</c:formatCode>
                <c:ptCount val="100"/>
                <c:pt idx="0">
                  <c:v>0.56954700000000003</c:v>
                </c:pt>
                <c:pt idx="1">
                  <c:v>0.571183</c:v>
                </c:pt>
                <c:pt idx="2">
                  <c:v>0.57384800000000002</c:v>
                </c:pt>
                <c:pt idx="3">
                  <c:v>0.57750800000000002</c:v>
                </c:pt>
                <c:pt idx="4">
                  <c:v>0.58213599999999999</c:v>
                </c:pt>
                <c:pt idx="5">
                  <c:v>0.58771499999999999</c:v>
                </c:pt>
                <c:pt idx="6">
                  <c:v>0.59423599999999999</c:v>
                </c:pt>
                <c:pt idx="7">
                  <c:v>0.60169399999999995</c:v>
                </c:pt>
                <c:pt idx="8">
                  <c:v>0.610093</c:v>
                </c:pt>
                <c:pt idx="9">
                  <c:v>0.61944100000000002</c:v>
                </c:pt>
                <c:pt idx="10">
                  <c:v>0.62975000000000003</c:v>
                </c:pt>
                <c:pt idx="11">
                  <c:v>0.641038</c:v>
                </c:pt>
                <c:pt idx="12">
                  <c:v>0.65332500000000004</c:v>
                </c:pt>
                <c:pt idx="13">
                  <c:v>0.66663700000000004</c:v>
                </c:pt>
                <c:pt idx="14">
                  <c:v>0.68100099999999997</c:v>
                </c:pt>
                <c:pt idx="15">
                  <c:v>0.69644899999999998</c:v>
                </c:pt>
                <c:pt idx="16">
                  <c:v>0.71301499999999995</c:v>
                </c:pt>
                <c:pt idx="17">
                  <c:v>0.73073600000000005</c:v>
                </c:pt>
                <c:pt idx="18">
                  <c:v>0.74965300000000001</c:v>
                </c:pt>
                <c:pt idx="19">
                  <c:v>0.76980599999999999</c:v>
                </c:pt>
                <c:pt idx="20">
                  <c:v>0.79124000000000005</c:v>
                </c:pt>
                <c:pt idx="21">
                  <c:v>0.81400099999999997</c:v>
                </c:pt>
                <c:pt idx="22">
                  <c:v>0.83813599999999999</c:v>
                </c:pt>
                <c:pt idx="23">
                  <c:v>0.86369300000000004</c:v>
                </c:pt>
                <c:pt idx="24">
                  <c:v>0.89072200000000001</c:v>
                </c:pt>
                <c:pt idx="25">
                  <c:v>0.91927199999999998</c:v>
                </c:pt>
                <c:pt idx="26">
                  <c:v>0.94938999999999996</c:v>
                </c:pt>
                <c:pt idx="27">
                  <c:v>0.98112500000000002</c:v>
                </c:pt>
                <c:pt idx="28">
                  <c:v>1.0145200000000001</c:v>
                </c:pt>
                <c:pt idx="29">
                  <c:v>1.04962</c:v>
                </c:pt>
                <c:pt idx="30">
                  <c:v>1.0864499999999999</c:v>
                </c:pt>
                <c:pt idx="31">
                  <c:v>1.1250500000000001</c:v>
                </c:pt>
                <c:pt idx="32">
                  <c:v>1.16544</c:v>
                </c:pt>
                <c:pt idx="33">
                  <c:v>1.2076199999999999</c:v>
                </c:pt>
                <c:pt idx="34">
                  <c:v>1.2515799999999999</c:v>
                </c:pt>
                <c:pt idx="35">
                  <c:v>1.2972999999999999</c:v>
                </c:pt>
                <c:pt idx="36">
                  <c:v>1.3447100000000001</c:v>
                </c:pt>
                <c:pt idx="37">
                  <c:v>1.3937200000000001</c:v>
                </c:pt>
                <c:pt idx="38">
                  <c:v>1.4442200000000001</c:v>
                </c:pt>
                <c:pt idx="39">
                  <c:v>1.4960100000000001</c:v>
                </c:pt>
                <c:pt idx="40">
                  <c:v>1.5488599999999999</c:v>
                </c:pt>
                <c:pt idx="41">
                  <c:v>1.6024400000000001</c:v>
                </c:pt>
                <c:pt idx="42">
                  <c:v>1.6563399999999999</c:v>
                </c:pt>
                <c:pt idx="43">
                  <c:v>1.7100500000000001</c:v>
                </c:pt>
                <c:pt idx="44">
                  <c:v>1.76292</c:v>
                </c:pt>
                <c:pt idx="45">
                  <c:v>1.81419</c:v>
                </c:pt>
                <c:pt idx="46">
                  <c:v>1.86293</c:v>
                </c:pt>
                <c:pt idx="47">
                  <c:v>1.90811</c:v>
                </c:pt>
                <c:pt idx="48">
                  <c:v>1.94855</c:v>
                </c:pt>
                <c:pt idx="49">
                  <c:v>1.98302</c:v>
                </c:pt>
                <c:pt idx="50">
                  <c:v>2.0102500000000001</c:v>
                </c:pt>
                <c:pt idx="51">
                  <c:v>2.0290599999999999</c:v>
                </c:pt>
                <c:pt idx="52">
                  <c:v>2.0384500000000001</c:v>
                </c:pt>
                <c:pt idx="53">
                  <c:v>2.0377100000000001</c:v>
                </c:pt>
                <c:pt idx="54">
                  <c:v>2.0265</c:v>
                </c:pt>
                <c:pt idx="55">
                  <c:v>2.0049700000000001</c:v>
                </c:pt>
                <c:pt idx="56">
                  <c:v>1.9736899999999999</c:v>
                </c:pt>
                <c:pt idx="57">
                  <c:v>1.9336599999999999</c:v>
                </c:pt>
                <c:pt idx="58">
                  <c:v>1.88618</c:v>
                </c:pt>
                <c:pt idx="59">
                  <c:v>1.8327</c:v>
                </c:pt>
                <c:pt idx="60">
                  <c:v>1.7746999999999999</c:v>
                </c:pt>
                <c:pt idx="61">
                  <c:v>1.71353</c:v>
                </c:pt>
                <c:pt idx="62">
                  <c:v>1.6503300000000001</c:v>
                </c:pt>
                <c:pt idx="63">
                  <c:v>1.5860000000000001</c:v>
                </c:pt>
                <c:pt idx="64">
                  <c:v>1.5212000000000001</c:v>
                </c:pt>
                <c:pt idx="65">
                  <c:v>1.45634</c:v>
                </c:pt>
                <c:pt idx="66">
                  <c:v>1.3916900000000001</c:v>
                </c:pt>
                <c:pt idx="67">
                  <c:v>1.32734</c:v>
                </c:pt>
                <c:pt idx="68">
                  <c:v>1.26335</c:v>
                </c:pt>
                <c:pt idx="69">
                  <c:v>1.1997100000000001</c:v>
                </c:pt>
                <c:pt idx="70">
                  <c:v>1.13642</c:v>
                </c:pt>
                <c:pt idx="71">
                  <c:v>1.07348</c:v>
                </c:pt>
                <c:pt idx="72">
                  <c:v>1.0109399999999999</c:v>
                </c:pt>
                <c:pt idx="73">
                  <c:v>0.94887699999999997</c:v>
                </c:pt>
                <c:pt idx="74">
                  <c:v>0.88741899999999996</c:v>
                </c:pt>
                <c:pt idx="75">
                  <c:v>0.82672699999999999</c:v>
                </c:pt>
                <c:pt idx="76">
                  <c:v>0.76699700000000004</c:v>
                </c:pt>
                <c:pt idx="77">
                  <c:v>0.708453</c:v>
                </c:pt>
                <c:pt idx="78">
                  <c:v>0.651335</c:v>
                </c:pt>
                <c:pt idx="79">
                  <c:v>0.59589300000000001</c:v>
                </c:pt>
                <c:pt idx="80">
                  <c:v>0.54237500000000005</c:v>
                </c:pt>
                <c:pt idx="81">
                  <c:v>0.49102000000000001</c:v>
                </c:pt>
                <c:pt idx="82">
                  <c:v>0.44204700000000002</c:v>
                </c:pt>
                <c:pt idx="83">
                  <c:v>0.395652</c:v>
                </c:pt>
                <c:pt idx="84">
                  <c:v>0.351997</c:v>
                </c:pt>
                <c:pt idx="85">
                  <c:v>0.31121100000000002</c:v>
                </c:pt>
                <c:pt idx="86">
                  <c:v>0.27338200000000001</c:v>
                </c:pt>
                <c:pt idx="87">
                  <c:v>0.23855699999999999</c:v>
                </c:pt>
                <c:pt idx="88">
                  <c:v>0.20674600000000001</c:v>
                </c:pt>
                <c:pt idx="89">
                  <c:v>0.17791499999999999</c:v>
                </c:pt>
                <c:pt idx="90">
                  <c:v>0.15199499999999999</c:v>
                </c:pt>
                <c:pt idx="91">
                  <c:v>0.128885</c:v>
                </c:pt>
                <c:pt idx="92">
                  <c:v>0.10845200000000001</c:v>
                </c:pt>
                <c:pt idx="93">
                  <c:v>9.0543100000000001E-2</c:v>
                </c:pt>
                <c:pt idx="94">
                  <c:v>7.4982599999999996E-2</c:v>
                </c:pt>
                <c:pt idx="95">
                  <c:v>6.1583600000000002E-2</c:v>
                </c:pt>
                <c:pt idx="96">
                  <c:v>5.0151000000000001E-2</c:v>
                </c:pt>
                <c:pt idx="97">
                  <c:v>4.0486899999999999E-2</c:v>
                </c:pt>
                <c:pt idx="98">
                  <c:v>3.2395100000000003E-2</c:v>
                </c:pt>
                <c:pt idx="99">
                  <c:v>2.5685099999999999E-2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47-4C1F-98DB-F210D34AF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117744"/>
        <c:axId val="1126131168"/>
      </c:scatterChart>
      <c:valAx>
        <c:axId val="750117744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 sz="1200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6131168"/>
        <c:crosses val="autoZero"/>
        <c:crossBetween val="midCat"/>
      </c:valAx>
      <c:valAx>
        <c:axId val="11261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 sz="1600"/>
                  <a:t>P</a:t>
                </a:r>
                <a:r>
                  <a:rPr lang="fr-BE" sz="1600" baseline="-25000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011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Defender Risk</a:t>
            </a:r>
            <a:r>
              <a:rPr lang="fr-BE" baseline="0"/>
              <a:t> Aversion</a:t>
            </a:r>
            <a:endParaRPr lang="fr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'Scenario 2 Increased Risk Ap'!$H$5</c:f>
              <c:strCache>
                <c:ptCount val="1"/>
                <c:pt idx="0">
                  <c:v>Risk Aversion =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'Scenario 2 Increased Risk Ap'!$G$6:$G$105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'Scenario 2 Increased Risk Ap'!$H$6:$H$105</c:f>
              <c:numCache>
                <c:formatCode>0.0000</c:formatCode>
                <c:ptCount val="100"/>
                <c:pt idx="0">
                  <c:v>0.56954700000000003</c:v>
                </c:pt>
                <c:pt idx="1">
                  <c:v>0.571183</c:v>
                </c:pt>
                <c:pt idx="2">
                  <c:v>0.57384800000000002</c:v>
                </c:pt>
                <c:pt idx="3">
                  <c:v>0.57750800000000002</c:v>
                </c:pt>
                <c:pt idx="4">
                  <c:v>0.58213599999999999</c:v>
                </c:pt>
                <c:pt idx="5">
                  <c:v>0.58771499999999999</c:v>
                </c:pt>
                <c:pt idx="6">
                  <c:v>0.59423599999999999</c:v>
                </c:pt>
                <c:pt idx="7">
                  <c:v>0.60169399999999995</c:v>
                </c:pt>
                <c:pt idx="8">
                  <c:v>0.610093</c:v>
                </c:pt>
                <c:pt idx="9">
                  <c:v>0.61944100000000002</c:v>
                </c:pt>
                <c:pt idx="10">
                  <c:v>0.62975000000000003</c:v>
                </c:pt>
                <c:pt idx="11">
                  <c:v>0.641038</c:v>
                </c:pt>
                <c:pt idx="12">
                  <c:v>0.65332500000000004</c:v>
                </c:pt>
                <c:pt idx="13">
                  <c:v>0.66663700000000004</c:v>
                </c:pt>
                <c:pt idx="14">
                  <c:v>0.68100099999999997</c:v>
                </c:pt>
                <c:pt idx="15">
                  <c:v>0.69644899999999998</c:v>
                </c:pt>
                <c:pt idx="16">
                  <c:v>0.71301499999999995</c:v>
                </c:pt>
                <c:pt idx="17">
                  <c:v>0.73073600000000005</c:v>
                </c:pt>
                <c:pt idx="18">
                  <c:v>0.74965300000000001</c:v>
                </c:pt>
                <c:pt idx="19">
                  <c:v>0.76980599999999999</c:v>
                </c:pt>
                <c:pt idx="20">
                  <c:v>0.79124000000000005</c:v>
                </c:pt>
                <c:pt idx="21">
                  <c:v>0.81400099999999997</c:v>
                </c:pt>
                <c:pt idx="22">
                  <c:v>0.83813599999999999</c:v>
                </c:pt>
                <c:pt idx="23">
                  <c:v>0.86369300000000004</c:v>
                </c:pt>
                <c:pt idx="24">
                  <c:v>0.89072200000000001</c:v>
                </c:pt>
                <c:pt idx="25">
                  <c:v>0.91927199999999998</c:v>
                </c:pt>
                <c:pt idx="26">
                  <c:v>0.94938999999999996</c:v>
                </c:pt>
                <c:pt idx="27">
                  <c:v>0.98112500000000002</c:v>
                </c:pt>
                <c:pt idx="28">
                  <c:v>1.0145200000000001</c:v>
                </c:pt>
                <c:pt idx="29">
                  <c:v>1.04962</c:v>
                </c:pt>
                <c:pt idx="30">
                  <c:v>1.0864499999999999</c:v>
                </c:pt>
                <c:pt idx="31">
                  <c:v>1.1250500000000001</c:v>
                </c:pt>
                <c:pt idx="32">
                  <c:v>1.16544</c:v>
                </c:pt>
                <c:pt idx="33">
                  <c:v>1.2076199999999999</c:v>
                </c:pt>
                <c:pt idx="34">
                  <c:v>1.2515799999999999</c:v>
                </c:pt>
                <c:pt idx="35">
                  <c:v>1.2972999999999999</c:v>
                </c:pt>
                <c:pt idx="36">
                  <c:v>1.3447100000000001</c:v>
                </c:pt>
                <c:pt idx="37">
                  <c:v>1.3937200000000001</c:v>
                </c:pt>
                <c:pt idx="38">
                  <c:v>1.4442200000000001</c:v>
                </c:pt>
                <c:pt idx="39">
                  <c:v>1.4960100000000001</c:v>
                </c:pt>
                <c:pt idx="40">
                  <c:v>1.5488599999999999</c:v>
                </c:pt>
                <c:pt idx="41">
                  <c:v>1.6024400000000001</c:v>
                </c:pt>
                <c:pt idx="42">
                  <c:v>1.6563399999999999</c:v>
                </c:pt>
                <c:pt idx="43">
                  <c:v>1.7100500000000001</c:v>
                </c:pt>
                <c:pt idx="44">
                  <c:v>1.76292</c:v>
                </c:pt>
                <c:pt idx="45">
                  <c:v>1.81419</c:v>
                </c:pt>
                <c:pt idx="46">
                  <c:v>1.86293</c:v>
                </c:pt>
                <c:pt idx="47">
                  <c:v>1.90811</c:v>
                </c:pt>
                <c:pt idx="48">
                  <c:v>1.94855</c:v>
                </c:pt>
                <c:pt idx="49">
                  <c:v>1.98302</c:v>
                </c:pt>
                <c:pt idx="50">
                  <c:v>2.0102500000000001</c:v>
                </c:pt>
                <c:pt idx="51">
                  <c:v>2.0290599999999999</c:v>
                </c:pt>
                <c:pt idx="52">
                  <c:v>2.0384500000000001</c:v>
                </c:pt>
                <c:pt idx="53">
                  <c:v>2.0377100000000001</c:v>
                </c:pt>
                <c:pt idx="54">
                  <c:v>2.0265</c:v>
                </c:pt>
                <c:pt idx="55">
                  <c:v>2.0049700000000001</c:v>
                </c:pt>
                <c:pt idx="56">
                  <c:v>1.9736899999999999</c:v>
                </c:pt>
                <c:pt idx="57">
                  <c:v>1.9336599999999999</c:v>
                </c:pt>
                <c:pt idx="58">
                  <c:v>1.88618</c:v>
                </c:pt>
                <c:pt idx="59">
                  <c:v>1.8327</c:v>
                </c:pt>
                <c:pt idx="60">
                  <c:v>1.7746999999999999</c:v>
                </c:pt>
                <c:pt idx="61">
                  <c:v>1.71353</c:v>
                </c:pt>
                <c:pt idx="62">
                  <c:v>1.6503300000000001</c:v>
                </c:pt>
                <c:pt idx="63">
                  <c:v>1.5860000000000001</c:v>
                </c:pt>
                <c:pt idx="64">
                  <c:v>1.5212000000000001</c:v>
                </c:pt>
                <c:pt idx="65">
                  <c:v>1.45634</c:v>
                </c:pt>
                <c:pt idx="66">
                  <c:v>1.3916900000000001</c:v>
                </c:pt>
                <c:pt idx="67">
                  <c:v>1.32734</c:v>
                </c:pt>
                <c:pt idx="68">
                  <c:v>1.26335</c:v>
                </c:pt>
                <c:pt idx="69">
                  <c:v>1.1997100000000001</c:v>
                </c:pt>
                <c:pt idx="70">
                  <c:v>1.13642</c:v>
                </c:pt>
                <c:pt idx="71">
                  <c:v>1.07348</c:v>
                </c:pt>
                <c:pt idx="72">
                  <c:v>1.0109399999999999</c:v>
                </c:pt>
                <c:pt idx="73">
                  <c:v>0.94887699999999997</c:v>
                </c:pt>
                <c:pt idx="74">
                  <c:v>0.88741899999999996</c:v>
                </c:pt>
                <c:pt idx="75">
                  <c:v>0.82672699999999999</c:v>
                </c:pt>
                <c:pt idx="76">
                  <c:v>0.76699700000000004</c:v>
                </c:pt>
                <c:pt idx="77">
                  <c:v>0.708453</c:v>
                </c:pt>
                <c:pt idx="78">
                  <c:v>0.651335</c:v>
                </c:pt>
                <c:pt idx="79">
                  <c:v>0.59589300000000001</c:v>
                </c:pt>
                <c:pt idx="80">
                  <c:v>0.54237500000000005</c:v>
                </c:pt>
                <c:pt idx="81">
                  <c:v>0.49102000000000001</c:v>
                </c:pt>
                <c:pt idx="82">
                  <c:v>0.44204700000000002</c:v>
                </c:pt>
                <c:pt idx="83">
                  <c:v>0.395652</c:v>
                </c:pt>
                <c:pt idx="84">
                  <c:v>0.351997</c:v>
                </c:pt>
                <c:pt idx="85">
                  <c:v>0.31121100000000002</c:v>
                </c:pt>
                <c:pt idx="86">
                  <c:v>0.27338200000000001</c:v>
                </c:pt>
                <c:pt idx="87">
                  <c:v>0.23855699999999999</c:v>
                </c:pt>
                <c:pt idx="88">
                  <c:v>0.20674600000000001</c:v>
                </c:pt>
                <c:pt idx="89">
                  <c:v>0.17791499999999999</c:v>
                </c:pt>
                <c:pt idx="90">
                  <c:v>0.15199499999999999</c:v>
                </c:pt>
                <c:pt idx="91">
                  <c:v>0.128885</c:v>
                </c:pt>
                <c:pt idx="92">
                  <c:v>0.10845200000000001</c:v>
                </c:pt>
                <c:pt idx="93">
                  <c:v>9.0543100000000001E-2</c:v>
                </c:pt>
                <c:pt idx="94">
                  <c:v>7.4982599999999996E-2</c:v>
                </c:pt>
                <c:pt idx="95">
                  <c:v>6.1583600000000002E-2</c:v>
                </c:pt>
                <c:pt idx="96">
                  <c:v>5.0151000000000001E-2</c:v>
                </c:pt>
                <c:pt idx="97">
                  <c:v>4.0486899999999999E-2</c:v>
                </c:pt>
                <c:pt idx="98">
                  <c:v>3.2395100000000003E-2</c:v>
                </c:pt>
                <c:pt idx="99">
                  <c:v>2.5685099999999999E-2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84-42E3-845C-0A0772991C7F}"/>
            </c:ext>
          </c:extLst>
        </c:ser>
        <c:ser>
          <c:idx val="1"/>
          <c:order val="1"/>
          <c:tx>
            <c:strRef>
              <c:f>'Scenario 2 Increased Risk Ap'!$I$5</c:f>
              <c:strCache>
                <c:ptCount val="1"/>
                <c:pt idx="0">
                  <c:v>Risk Aversion =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'Scenario 2 Increased Risk Ap'!$G$6:$G$105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'Scenario 2 Increased Risk Ap'!$I$6:$I$105</c:f>
              <c:numCache>
                <c:formatCode>0.0000</c:formatCode>
                <c:ptCount val="100"/>
                <c:pt idx="0">
                  <c:v>0.93132400000000004</c:v>
                </c:pt>
                <c:pt idx="1">
                  <c:v>0.93388700000000002</c:v>
                </c:pt>
                <c:pt idx="2">
                  <c:v>0.93796000000000002</c:v>
                </c:pt>
                <c:pt idx="3">
                  <c:v>0.94341600000000003</c:v>
                </c:pt>
                <c:pt idx="4">
                  <c:v>0.95015400000000005</c:v>
                </c:pt>
                <c:pt idx="5">
                  <c:v>0.95809100000000003</c:v>
                </c:pt>
                <c:pt idx="6">
                  <c:v>0.96716299999999999</c:v>
                </c:pt>
                <c:pt idx="7">
                  <c:v>0.97731299999999999</c:v>
                </c:pt>
                <c:pt idx="8">
                  <c:v>0.98849900000000002</c:v>
                </c:pt>
                <c:pt idx="9">
                  <c:v>1.00068</c:v>
                </c:pt>
                <c:pt idx="10">
                  <c:v>1.01383</c:v>
                </c:pt>
                <c:pt idx="11">
                  <c:v>1.0279199999999999</c:v>
                </c:pt>
                <c:pt idx="12">
                  <c:v>1.0429299999999999</c:v>
                </c:pt>
                <c:pt idx="13">
                  <c:v>1.0588200000000001</c:v>
                </c:pt>
                <c:pt idx="14">
                  <c:v>1.07558</c:v>
                </c:pt>
                <c:pt idx="15">
                  <c:v>1.0931900000000001</c:v>
                </c:pt>
                <c:pt idx="16">
                  <c:v>1.11161</c:v>
                </c:pt>
                <c:pt idx="17">
                  <c:v>1.13083</c:v>
                </c:pt>
                <c:pt idx="18">
                  <c:v>1.1508100000000001</c:v>
                </c:pt>
                <c:pt idx="19">
                  <c:v>1.1715199999999999</c:v>
                </c:pt>
                <c:pt idx="20">
                  <c:v>1.19292</c:v>
                </c:pt>
                <c:pt idx="21">
                  <c:v>1.21496</c:v>
                </c:pt>
                <c:pt idx="22">
                  <c:v>1.23759</c:v>
                </c:pt>
                <c:pt idx="23">
                  <c:v>1.2607600000000001</c:v>
                </c:pt>
                <c:pt idx="24">
                  <c:v>1.2844</c:v>
                </c:pt>
                <c:pt idx="25">
                  <c:v>1.30843</c:v>
                </c:pt>
                <c:pt idx="26">
                  <c:v>1.3327800000000001</c:v>
                </c:pt>
                <c:pt idx="27">
                  <c:v>1.3573500000000001</c:v>
                </c:pt>
                <c:pt idx="28">
                  <c:v>1.3820300000000001</c:v>
                </c:pt>
                <c:pt idx="29">
                  <c:v>1.40672</c:v>
                </c:pt>
                <c:pt idx="30">
                  <c:v>1.4313</c:v>
                </c:pt>
                <c:pt idx="31">
                  <c:v>1.4556100000000001</c:v>
                </c:pt>
                <c:pt idx="32">
                  <c:v>1.47953</c:v>
                </c:pt>
                <c:pt idx="33">
                  <c:v>1.5028900000000001</c:v>
                </c:pt>
                <c:pt idx="34">
                  <c:v>1.5255300000000001</c:v>
                </c:pt>
                <c:pt idx="35">
                  <c:v>1.5472600000000001</c:v>
                </c:pt>
                <c:pt idx="36">
                  <c:v>1.5679000000000001</c:v>
                </c:pt>
                <c:pt idx="37">
                  <c:v>1.58727</c:v>
                </c:pt>
                <c:pt idx="38">
                  <c:v>1.6051500000000001</c:v>
                </c:pt>
                <c:pt idx="39">
                  <c:v>1.62134</c:v>
                </c:pt>
                <c:pt idx="40">
                  <c:v>1.6356599999999999</c:v>
                </c:pt>
                <c:pt idx="41">
                  <c:v>1.6478999999999999</c:v>
                </c:pt>
                <c:pt idx="42">
                  <c:v>1.65788</c:v>
                </c:pt>
                <c:pt idx="43">
                  <c:v>1.6654199999999999</c:v>
                </c:pt>
                <c:pt idx="44">
                  <c:v>1.6703699999999999</c:v>
                </c:pt>
                <c:pt idx="45">
                  <c:v>1.6726000000000001</c:v>
                </c:pt>
                <c:pt idx="46">
                  <c:v>1.6719999999999999</c:v>
                </c:pt>
                <c:pt idx="47">
                  <c:v>1.6685300000000001</c:v>
                </c:pt>
                <c:pt idx="48">
                  <c:v>1.6621300000000001</c:v>
                </c:pt>
                <c:pt idx="49">
                  <c:v>1.65282</c:v>
                </c:pt>
                <c:pt idx="50">
                  <c:v>1.6406400000000001</c:v>
                </c:pt>
                <c:pt idx="51">
                  <c:v>1.6256600000000001</c:v>
                </c:pt>
                <c:pt idx="52">
                  <c:v>1.60795</c:v>
                </c:pt>
                <c:pt idx="53">
                  <c:v>1.5875900000000001</c:v>
                </c:pt>
                <c:pt idx="54">
                  <c:v>1.56464</c:v>
                </c:pt>
                <c:pt idx="55">
                  <c:v>1.5391600000000001</c:v>
                </c:pt>
                <c:pt idx="56">
                  <c:v>1.51112</c:v>
                </c:pt>
                <c:pt idx="57">
                  <c:v>1.4804900000000001</c:v>
                </c:pt>
                <c:pt idx="58">
                  <c:v>1.44719</c:v>
                </c:pt>
                <c:pt idx="59">
                  <c:v>1.4111100000000001</c:v>
                </c:pt>
                <c:pt idx="60">
                  <c:v>1.3721699999999999</c:v>
                </c:pt>
                <c:pt idx="61">
                  <c:v>1.3302700000000001</c:v>
                </c:pt>
                <c:pt idx="62">
                  <c:v>1.2854099999999999</c:v>
                </c:pt>
                <c:pt idx="63">
                  <c:v>1.2376</c:v>
                </c:pt>
                <c:pt idx="64">
                  <c:v>1.1869799999999999</c:v>
                </c:pt>
                <c:pt idx="65">
                  <c:v>1.13375</c:v>
                </c:pt>
                <c:pt idx="66">
                  <c:v>1.07819</c:v>
                </c:pt>
                <c:pt idx="67">
                  <c:v>1.0206500000000001</c:v>
                </c:pt>
                <c:pt idx="68">
                  <c:v>0.96155199999999996</c:v>
                </c:pt>
                <c:pt idx="69">
                  <c:v>0.901362</c:v>
                </c:pt>
                <c:pt idx="70">
                  <c:v>0.84057199999999999</c:v>
                </c:pt>
                <c:pt idx="71">
                  <c:v>0.779694</c:v>
                </c:pt>
                <c:pt idx="72">
                  <c:v>0.71923700000000002</c:v>
                </c:pt>
                <c:pt idx="73">
                  <c:v>0.65969999999999995</c:v>
                </c:pt>
                <c:pt idx="74">
                  <c:v>0.601553</c:v>
                </c:pt>
                <c:pt idx="75">
                  <c:v>0.54523500000000003</c:v>
                </c:pt>
                <c:pt idx="76">
                  <c:v>0.49113600000000002</c:v>
                </c:pt>
                <c:pt idx="77">
                  <c:v>0.43959700000000002</c:v>
                </c:pt>
                <c:pt idx="78">
                  <c:v>0.390901</c:v>
                </c:pt>
                <c:pt idx="79">
                  <c:v>0.34527200000000002</c:v>
                </c:pt>
                <c:pt idx="80">
                  <c:v>0.30287399999999998</c:v>
                </c:pt>
                <c:pt idx="81">
                  <c:v>0.26380799999999999</c:v>
                </c:pt>
                <c:pt idx="82">
                  <c:v>0.22811799999999999</c:v>
                </c:pt>
                <c:pt idx="83">
                  <c:v>0.19579099999999999</c:v>
                </c:pt>
                <c:pt idx="84">
                  <c:v>0.166765</c:v>
                </c:pt>
                <c:pt idx="85">
                  <c:v>0.140932</c:v>
                </c:pt>
                <c:pt idx="86">
                  <c:v>0.118146</c:v>
                </c:pt>
                <c:pt idx="87">
                  <c:v>9.8230100000000001E-2</c:v>
                </c:pt>
                <c:pt idx="88">
                  <c:v>8.0983899999999998E-2</c:v>
                </c:pt>
                <c:pt idx="89">
                  <c:v>6.6189499999999998E-2</c:v>
                </c:pt>
                <c:pt idx="90">
                  <c:v>5.36195E-2</c:v>
                </c:pt>
                <c:pt idx="91">
                  <c:v>4.30433E-2</c:v>
                </c:pt>
                <c:pt idx="92">
                  <c:v>3.4232899999999997E-2</c:v>
                </c:pt>
                <c:pt idx="93">
                  <c:v>2.6967399999999999E-2</c:v>
                </c:pt>
                <c:pt idx="94">
                  <c:v>2.10376E-2</c:v>
                </c:pt>
                <c:pt idx="95">
                  <c:v>1.6248499999999999E-2</c:v>
                </c:pt>
                <c:pt idx="96">
                  <c:v>1.24221E-2</c:v>
                </c:pt>
                <c:pt idx="97">
                  <c:v>9.3979900000000002E-3</c:v>
                </c:pt>
                <c:pt idx="98">
                  <c:v>7.0345099999999999E-3</c:v>
                </c:pt>
                <c:pt idx="99">
                  <c:v>5.2081999999999996E-3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84-42E3-845C-0A0772991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661472"/>
        <c:axId val="1135661952"/>
      </c:scatterChart>
      <c:valAx>
        <c:axId val="1135661472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661952"/>
        <c:crosses val="autoZero"/>
        <c:crossBetween val="midCat"/>
        <c:majorUnit val="0.1"/>
      </c:valAx>
      <c:valAx>
        <c:axId val="11356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P</a:t>
                </a:r>
                <a:r>
                  <a:rPr lang="fr-BE" baseline="-25000"/>
                  <a:t>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661472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Nash Equilibrium - P</a:t>
            </a:r>
            <a:r>
              <a:rPr lang="fr-BE" baseline="-25000"/>
              <a:t>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P_i!$J$2</c:f>
              <c:strCache>
                <c:ptCount val="1"/>
                <c:pt idx="0">
                  <c:v>Scenario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P_i!$I$3:$I$102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P_i!$J$3:$J$102</c:f>
              <c:numCache>
                <c:formatCode>General</c:formatCode>
                <c:ptCount val="100"/>
                <c:pt idx="0">
                  <c:v>1.1931099999999999</c:v>
                </c:pt>
                <c:pt idx="1">
                  <c:v>1.19638</c:v>
                </c:pt>
                <c:pt idx="2">
                  <c:v>1.20157</c:v>
                </c:pt>
                <c:pt idx="3">
                  <c:v>1.20851</c:v>
                </c:pt>
                <c:pt idx="4">
                  <c:v>1.21705</c:v>
                </c:pt>
                <c:pt idx="5">
                  <c:v>1.2271000000000001</c:v>
                </c:pt>
                <c:pt idx="6">
                  <c:v>1.2385600000000001</c:v>
                </c:pt>
                <c:pt idx="7">
                  <c:v>1.25136</c:v>
                </c:pt>
                <c:pt idx="8">
                  <c:v>1.2654399999999999</c:v>
                </c:pt>
                <c:pt idx="9">
                  <c:v>1.2807500000000001</c:v>
                </c:pt>
                <c:pt idx="10">
                  <c:v>1.2972399999999999</c:v>
                </c:pt>
                <c:pt idx="11">
                  <c:v>1.31487</c:v>
                </c:pt>
                <c:pt idx="12">
                  <c:v>1.33361</c:v>
                </c:pt>
                <c:pt idx="13">
                  <c:v>1.3534299999999999</c:v>
                </c:pt>
                <c:pt idx="14">
                  <c:v>1.3742799999999999</c:v>
                </c:pt>
                <c:pt idx="15">
                  <c:v>1.3961399999999999</c:v>
                </c:pt>
                <c:pt idx="16">
                  <c:v>1.41896</c:v>
                </c:pt>
                <c:pt idx="17">
                  <c:v>1.4427000000000001</c:v>
                </c:pt>
                <c:pt idx="18">
                  <c:v>1.46733</c:v>
                </c:pt>
                <c:pt idx="19">
                  <c:v>1.49278</c:v>
                </c:pt>
                <c:pt idx="20">
                  <c:v>1.5189999999999999</c:v>
                </c:pt>
                <c:pt idx="21">
                  <c:v>1.54592</c:v>
                </c:pt>
                <c:pt idx="22">
                  <c:v>1.5734699999999999</c:v>
                </c:pt>
                <c:pt idx="23">
                  <c:v>1.6015600000000001</c:v>
                </c:pt>
                <c:pt idx="24">
                  <c:v>1.63009</c:v>
                </c:pt>
                <c:pt idx="25">
                  <c:v>1.6589700000000001</c:v>
                </c:pt>
                <c:pt idx="26">
                  <c:v>1.6880599999999999</c:v>
                </c:pt>
                <c:pt idx="27">
                  <c:v>1.71723</c:v>
                </c:pt>
                <c:pt idx="28">
                  <c:v>1.7463200000000001</c:v>
                </c:pt>
                <c:pt idx="29">
                  <c:v>1.7751600000000001</c:v>
                </c:pt>
                <c:pt idx="30">
                  <c:v>1.8035699999999999</c:v>
                </c:pt>
                <c:pt idx="31">
                  <c:v>1.8313299999999999</c:v>
                </c:pt>
                <c:pt idx="32">
                  <c:v>1.8582000000000001</c:v>
                </c:pt>
                <c:pt idx="33">
                  <c:v>1.8839300000000001</c:v>
                </c:pt>
                <c:pt idx="34">
                  <c:v>1.90822</c:v>
                </c:pt>
                <c:pt idx="35">
                  <c:v>1.93075</c:v>
                </c:pt>
                <c:pt idx="36">
                  <c:v>1.9511799999999999</c:v>
                </c:pt>
                <c:pt idx="37">
                  <c:v>1.9691099999999999</c:v>
                </c:pt>
                <c:pt idx="38">
                  <c:v>1.98411</c:v>
                </c:pt>
                <c:pt idx="39">
                  <c:v>1.9957</c:v>
                </c:pt>
                <c:pt idx="40">
                  <c:v>2.0033599999999998</c:v>
                </c:pt>
                <c:pt idx="41">
                  <c:v>2.0065200000000001</c:v>
                </c:pt>
                <c:pt idx="42">
                  <c:v>2.0045500000000001</c:v>
                </c:pt>
                <c:pt idx="43">
                  <c:v>1.9967900000000001</c:v>
                </c:pt>
                <c:pt idx="44">
                  <c:v>1.98255</c:v>
                </c:pt>
                <c:pt idx="45">
                  <c:v>1.9611000000000001</c:v>
                </c:pt>
                <c:pt idx="46">
                  <c:v>1.93174</c:v>
                </c:pt>
                <c:pt idx="47">
                  <c:v>1.8938200000000001</c:v>
                </c:pt>
                <c:pt idx="48">
                  <c:v>1.8468199999999999</c:v>
                </c:pt>
                <c:pt idx="49">
                  <c:v>1.7903800000000001</c:v>
                </c:pt>
                <c:pt idx="50">
                  <c:v>1.72441</c:v>
                </c:pt>
                <c:pt idx="51">
                  <c:v>1.6491800000000001</c:v>
                </c:pt>
                <c:pt idx="52">
                  <c:v>1.56534</c:v>
                </c:pt>
                <c:pt idx="53">
                  <c:v>1.47401</c:v>
                </c:pt>
                <c:pt idx="54">
                  <c:v>1.37669</c:v>
                </c:pt>
                <c:pt idx="55">
                  <c:v>1.2752399999999999</c:v>
                </c:pt>
                <c:pt idx="56">
                  <c:v>1.1717200000000001</c:v>
                </c:pt>
                <c:pt idx="57">
                  <c:v>1.06823</c:v>
                </c:pt>
                <c:pt idx="58">
                  <c:v>0.96675599999999995</c:v>
                </c:pt>
                <c:pt idx="59">
                  <c:v>0.86899300000000002</c:v>
                </c:pt>
                <c:pt idx="60">
                  <c:v>0.77627699999999999</c:v>
                </c:pt>
                <c:pt idx="61">
                  <c:v>0.68954000000000004</c:v>
                </c:pt>
                <c:pt idx="62">
                  <c:v>0.60932699999999995</c:v>
                </c:pt>
                <c:pt idx="63">
                  <c:v>0.53585199999999999</c:v>
                </c:pt>
                <c:pt idx="64">
                  <c:v>0.46907300000000002</c:v>
                </c:pt>
                <c:pt idx="65">
                  <c:v>0.40876600000000002</c:v>
                </c:pt>
                <c:pt idx="66">
                  <c:v>0.35459299999999999</c:v>
                </c:pt>
                <c:pt idx="67">
                  <c:v>0.30615500000000001</c:v>
                </c:pt>
                <c:pt idx="68">
                  <c:v>0.26302999999999999</c:v>
                </c:pt>
                <c:pt idx="69">
                  <c:v>0.224798</c:v>
                </c:pt>
                <c:pt idx="70">
                  <c:v>0.191051</c:v>
                </c:pt>
                <c:pt idx="71">
                  <c:v>0.16140399999999999</c:v>
                </c:pt>
                <c:pt idx="72">
                  <c:v>0.135493</c:v>
                </c:pt>
                <c:pt idx="73">
                  <c:v>0.11297599999999999</c:v>
                </c:pt>
                <c:pt idx="74">
                  <c:v>9.3528399999999998E-2</c:v>
                </c:pt>
                <c:pt idx="75">
                  <c:v>7.6846100000000001E-2</c:v>
                </c:pt>
                <c:pt idx="76">
                  <c:v>6.2640199999999993E-2</c:v>
                </c:pt>
                <c:pt idx="77">
                  <c:v>5.0637599999999998E-2</c:v>
                </c:pt>
                <c:pt idx="78">
                  <c:v>4.0581100000000002E-2</c:v>
                </c:pt>
                <c:pt idx="79">
                  <c:v>3.2229099999999997E-2</c:v>
                </c:pt>
                <c:pt idx="80">
                  <c:v>2.5356900000000002E-2</c:v>
                </c:pt>
                <c:pt idx="81">
                  <c:v>1.9756800000000001E-2</c:v>
                </c:pt>
                <c:pt idx="82">
                  <c:v>1.5239300000000001E-2</c:v>
                </c:pt>
                <c:pt idx="83">
                  <c:v>1.16332E-2</c:v>
                </c:pt>
                <c:pt idx="84">
                  <c:v>8.7857100000000004E-3</c:v>
                </c:pt>
                <c:pt idx="85">
                  <c:v>6.5623299999999999E-3</c:v>
                </c:pt>
                <c:pt idx="86">
                  <c:v>4.84623E-3</c:v>
                </c:pt>
                <c:pt idx="87">
                  <c:v>3.5373499999999999E-3</c:v>
                </c:pt>
                <c:pt idx="88">
                  <c:v>2.5511800000000001E-3</c:v>
                </c:pt>
                <c:pt idx="89">
                  <c:v>1.8174300000000001E-3</c:v>
                </c:pt>
                <c:pt idx="90">
                  <c:v>1.2784700000000001E-3</c:v>
                </c:pt>
                <c:pt idx="91">
                  <c:v>8.8777799999999998E-4</c:v>
                </c:pt>
                <c:pt idx="92">
                  <c:v>6.0835700000000002E-4</c:v>
                </c:pt>
                <c:pt idx="93">
                  <c:v>4.1125999999999999E-4</c:v>
                </c:pt>
                <c:pt idx="94">
                  <c:v>2.74183E-4</c:v>
                </c:pt>
                <c:pt idx="95">
                  <c:v>1.8021500000000001E-4</c:v>
                </c:pt>
                <c:pt idx="96">
                  <c:v>1.16741E-4</c:v>
                </c:pt>
                <c:pt idx="97" formatCode="0.00E+00">
                  <c:v>7.45084E-5</c:v>
                </c:pt>
                <c:pt idx="98" formatCode="0.00E+00">
                  <c:v>4.6836899999999999E-5</c:v>
                </c:pt>
                <c:pt idx="99" formatCode="0.00E+00">
                  <c:v>2.8988799999999999E-5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60-4D38-AF95-DAF887000D7B}"/>
            </c:ext>
          </c:extLst>
        </c:ser>
        <c:ser>
          <c:idx val="1"/>
          <c:order val="1"/>
          <c:tx>
            <c:strRef>
              <c:f>P_i!$K$2</c:f>
              <c:strCache>
                <c:ptCount val="1"/>
                <c:pt idx="0">
                  <c:v>Scenario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P_i!$I$3:$I$102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P_i!$K$3:$K$102</c:f>
              <c:numCache>
                <c:formatCode>General</c:formatCode>
                <c:ptCount val="100"/>
                <c:pt idx="0">
                  <c:v>0.74693399999999999</c:v>
                </c:pt>
                <c:pt idx="1">
                  <c:v>0.74903600000000004</c:v>
                </c:pt>
                <c:pt idx="2">
                  <c:v>0.75242100000000001</c:v>
                </c:pt>
                <c:pt idx="3">
                  <c:v>0.75701399999999996</c:v>
                </c:pt>
                <c:pt idx="4">
                  <c:v>0.76275800000000005</c:v>
                </c:pt>
                <c:pt idx="5">
                  <c:v>0.76960700000000004</c:v>
                </c:pt>
                <c:pt idx="6">
                  <c:v>0.777528</c:v>
                </c:pt>
                <c:pt idx="7">
                  <c:v>0.78649400000000003</c:v>
                </c:pt>
                <c:pt idx="8">
                  <c:v>0.79648799999999997</c:v>
                </c:pt>
                <c:pt idx="9">
                  <c:v>0.80749899999999997</c:v>
                </c:pt>
                <c:pt idx="10">
                  <c:v>0.819519</c:v>
                </c:pt>
                <c:pt idx="11">
                  <c:v>0.83254700000000004</c:v>
                </c:pt>
                <c:pt idx="12">
                  <c:v>0.84658299999999997</c:v>
                </c:pt>
                <c:pt idx="13">
                  <c:v>0.86163000000000001</c:v>
                </c:pt>
                <c:pt idx="14">
                  <c:v>0.87769399999999997</c:v>
                </c:pt>
                <c:pt idx="15">
                  <c:v>0.89478100000000005</c:v>
                </c:pt>
                <c:pt idx="16">
                  <c:v>0.91289799999999999</c:v>
                </c:pt>
                <c:pt idx="17">
                  <c:v>0.93205300000000002</c:v>
                </c:pt>
                <c:pt idx="18">
                  <c:v>0.95225199999999999</c:v>
                </c:pt>
                <c:pt idx="19">
                  <c:v>0.97350199999999998</c:v>
                </c:pt>
                <c:pt idx="20">
                  <c:v>0.99580599999999997</c:v>
                </c:pt>
                <c:pt idx="21">
                  <c:v>1.0191699999999999</c:v>
                </c:pt>
                <c:pt idx="22">
                  <c:v>1.04358</c:v>
                </c:pt>
                <c:pt idx="23">
                  <c:v>1.0690500000000001</c:v>
                </c:pt>
                <c:pt idx="24">
                  <c:v>1.09555</c:v>
                </c:pt>
                <c:pt idx="25">
                  <c:v>1.1230800000000001</c:v>
                </c:pt>
                <c:pt idx="26">
                  <c:v>1.1516200000000001</c:v>
                </c:pt>
                <c:pt idx="27">
                  <c:v>1.18113</c:v>
                </c:pt>
                <c:pt idx="28">
                  <c:v>1.2115800000000001</c:v>
                </c:pt>
                <c:pt idx="29">
                  <c:v>1.2429300000000001</c:v>
                </c:pt>
                <c:pt idx="30">
                  <c:v>1.27511</c:v>
                </c:pt>
                <c:pt idx="31">
                  <c:v>1.3080700000000001</c:v>
                </c:pt>
                <c:pt idx="32">
                  <c:v>1.34171</c:v>
                </c:pt>
                <c:pt idx="33">
                  <c:v>1.3759399999999999</c:v>
                </c:pt>
                <c:pt idx="34">
                  <c:v>1.4106399999999999</c:v>
                </c:pt>
                <c:pt idx="35">
                  <c:v>1.4456800000000001</c:v>
                </c:pt>
                <c:pt idx="36">
                  <c:v>1.4809099999999999</c:v>
                </c:pt>
                <c:pt idx="37">
                  <c:v>1.5161500000000001</c:v>
                </c:pt>
                <c:pt idx="38">
                  <c:v>1.55118</c:v>
                </c:pt>
                <c:pt idx="39">
                  <c:v>1.58578</c:v>
                </c:pt>
                <c:pt idx="40">
                  <c:v>1.6196699999999999</c:v>
                </c:pt>
                <c:pt idx="41">
                  <c:v>1.65256</c:v>
                </c:pt>
                <c:pt idx="42">
                  <c:v>1.6840999999999999</c:v>
                </c:pt>
                <c:pt idx="43">
                  <c:v>1.71391</c:v>
                </c:pt>
                <c:pt idx="44">
                  <c:v>1.7415799999999999</c:v>
                </c:pt>
                <c:pt idx="45">
                  <c:v>1.7666500000000001</c:v>
                </c:pt>
                <c:pt idx="46">
                  <c:v>1.7886299999999999</c:v>
                </c:pt>
                <c:pt idx="47">
                  <c:v>1.80701</c:v>
                </c:pt>
                <c:pt idx="48">
                  <c:v>1.82125</c:v>
                </c:pt>
                <c:pt idx="49">
                  <c:v>1.83084</c:v>
                </c:pt>
                <c:pt idx="50">
                  <c:v>1.8352999999999999</c:v>
                </c:pt>
                <c:pt idx="51">
                  <c:v>1.83422</c:v>
                </c:pt>
                <c:pt idx="52">
                  <c:v>1.8272699999999999</c:v>
                </c:pt>
                <c:pt idx="53">
                  <c:v>1.81427</c:v>
                </c:pt>
                <c:pt idx="54">
                  <c:v>1.79518</c:v>
                </c:pt>
                <c:pt idx="55">
                  <c:v>1.77014</c:v>
                </c:pt>
                <c:pt idx="56">
                  <c:v>1.73943</c:v>
                </c:pt>
                <c:pt idx="57">
                  <c:v>1.70346</c:v>
                </c:pt>
                <c:pt idx="58">
                  <c:v>1.66276</c:v>
                </c:pt>
                <c:pt idx="59">
                  <c:v>1.61788</c:v>
                </c:pt>
                <c:pt idx="60">
                  <c:v>1.56941</c:v>
                </c:pt>
                <c:pt idx="61">
                  <c:v>1.5178700000000001</c:v>
                </c:pt>
                <c:pt idx="62">
                  <c:v>1.46374</c:v>
                </c:pt>
                <c:pt idx="63">
                  <c:v>1.4074500000000001</c:v>
                </c:pt>
                <c:pt idx="64">
                  <c:v>1.34934</c:v>
                </c:pt>
                <c:pt idx="65">
                  <c:v>1.2897099999999999</c:v>
                </c:pt>
                <c:pt idx="66">
                  <c:v>1.2288399999999999</c:v>
                </c:pt>
                <c:pt idx="67">
                  <c:v>1.1669700000000001</c:v>
                </c:pt>
                <c:pt idx="68">
                  <c:v>1.1043499999999999</c:v>
                </c:pt>
                <c:pt idx="69">
                  <c:v>1.0412300000000001</c:v>
                </c:pt>
                <c:pt idx="70">
                  <c:v>0.97790299999999997</c:v>
                </c:pt>
                <c:pt idx="71">
                  <c:v>0.91464500000000004</c:v>
                </c:pt>
                <c:pt idx="72">
                  <c:v>0.85177000000000003</c:v>
                </c:pt>
                <c:pt idx="73">
                  <c:v>0.78960200000000003</c:v>
                </c:pt>
                <c:pt idx="74">
                  <c:v>0.72847399999999995</c:v>
                </c:pt>
                <c:pt idx="75">
                  <c:v>0.66872200000000004</c:v>
                </c:pt>
                <c:pt idx="76">
                  <c:v>0.61067099999999996</c:v>
                </c:pt>
                <c:pt idx="77">
                  <c:v>0.55463600000000002</c:v>
                </c:pt>
                <c:pt idx="78">
                  <c:v>0.50090400000000002</c:v>
                </c:pt>
                <c:pt idx="79">
                  <c:v>0.44973400000000002</c:v>
                </c:pt>
                <c:pt idx="80">
                  <c:v>0.40134900000000001</c:v>
                </c:pt>
                <c:pt idx="81">
                  <c:v>0.35593000000000002</c:v>
                </c:pt>
                <c:pt idx="82">
                  <c:v>0.31361299999999998</c:v>
                </c:pt>
                <c:pt idx="83">
                  <c:v>0.27448600000000001</c:v>
                </c:pt>
                <c:pt idx="84">
                  <c:v>0.238591</c:v>
                </c:pt>
                <c:pt idx="85">
                  <c:v>0.205925</c:v>
                </c:pt>
                <c:pt idx="86">
                  <c:v>0.17643900000000001</c:v>
                </c:pt>
                <c:pt idx="87">
                  <c:v>0.15004600000000001</c:v>
                </c:pt>
                <c:pt idx="88">
                  <c:v>0.12662000000000001</c:v>
                </c:pt>
                <c:pt idx="89">
                  <c:v>0.10600900000000001</c:v>
                </c:pt>
                <c:pt idx="90">
                  <c:v>8.8035000000000002E-2</c:v>
                </c:pt>
                <c:pt idx="91">
                  <c:v>7.2501499999999997E-2</c:v>
                </c:pt>
                <c:pt idx="92">
                  <c:v>5.9200599999999999E-2</c:v>
                </c:pt>
                <c:pt idx="93">
                  <c:v>4.7918099999999998E-2</c:v>
                </c:pt>
                <c:pt idx="94">
                  <c:v>3.84392E-2</c:v>
                </c:pt>
                <c:pt idx="95">
                  <c:v>3.0553199999999999E-2</c:v>
                </c:pt>
                <c:pt idx="96">
                  <c:v>2.4057499999999999E-2</c:v>
                </c:pt>
                <c:pt idx="97">
                  <c:v>1.8761099999999999E-2</c:v>
                </c:pt>
                <c:pt idx="98">
                  <c:v>1.44873E-2</c:v>
                </c:pt>
                <c:pt idx="99">
                  <c:v>1.1074799999999999E-2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60-4D38-AF95-DAF887000D7B}"/>
            </c:ext>
          </c:extLst>
        </c:ser>
        <c:ser>
          <c:idx val="2"/>
          <c:order val="2"/>
          <c:tx>
            <c:strRef>
              <c:f>P_i!$L$2</c:f>
              <c:strCache>
                <c:ptCount val="1"/>
                <c:pt idx="0">
                  <c:v>Scenario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P_i!$I$3:$I$102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P_i!$L$3:$L$102</c:f>
              <c:numCache>
                <c:formatCode>General</c:formatCode>
                <c:ptCount val="100"/>
                <c:pt idx="0">
                  <c:v>0.86062300000000003</c:v>
                </c:pt>
                <c:pt idx="1">
                  <c:v>0.86302699999999999</c:v>
                </c:pt>
                <c:pt idx="2">
                  <c:v>0.86687899999999996</c:v>
                </c:pt>
                <c:pt idx="3">
                  <c:v>0.872085</c:v>
                </c:pt>
                <c:pt idx="4">
                  <c:v>0.87856599999999996</c:v>
                </c:pt>
                <c:pt idx="5">
                  <c:v>0.88626199999999999</c:v>
                </c:pt>
                <c:pt idx="6">
                  <c:v>0.89512499999999995</c:v>
                </c:pt>
                <c:pt idx="7">
                  <c:v>0.90512000000000004</c:v>
                </c:pt>
                <c:pt idx="8">
                  <c:v>0.91621699999999995</c:v>
                </c:pt>
                <c:pt idx="9">
                  <c:v>0.92839499999999997</c:v>
                </c:pt>
                <c:pt idx="10">
                  <c:v>0.94163799999999998</c:v>
                </c:pt>
                <c:pt idx="11">
                  <c:v>0.95593499999999998</c:v>
                </c:pt>
                <c:pt idx="12">
                  <c:v>0.97127699999999995</c:v>
                </c:pt>
                <c:pt idx="13">
                  <c:v>0.98765899999999995</c:v>
                </c:pt>
                <c:pt idx="14">
                  <c:v>1.0050699999999999</c:v>
                </c:pt>
                <c:pt idx="15">
                  <c:v>1.02352</c:v>
                </c:pt>
                <c:pt idx="16">
                  <c:v>1.0429900000000001</c:v>
                </c:pt>
                <c:pt idx="17">
                  <c:v>1.06349</c:v>
                </c:pt>
                <c:pt idx="18">
                  <c:v>1.0849899999999999</c:v>
                </c:pt>
                <c:pt idx="19">
                  <c:v>1.10751</c:v>
                </c:pt>
                <c:pt idx="20">
                  <c:v>1.1310100000000001</c:v>
                </c:pt>
                <c:pt idx="21">
                  <c:v>1.1555</c:v>
                </c:pt>
                <c:pt idx="22">
                  <c:v>1.1809400000000001</c:v>
                </c:pt>
                <c:pt idx="23">
                  <c:v>1.2073100000000001</c:v>
                </c:pt>
                <c:pt idx="24">
                  <c:v>1.23458</c:v>
                </c:pt>
                <c:pt idx="25">
                  <c:v>1.2626999999999999</c:v>
                </c:pt>
                <c:pt idx="26">
                  <c:v>1.2916399999999999</c:v>
                </c:pt>
                <c:pt idx="27">
                  <c:v>1.3213299999999999</c:v>
                </c:pt>
                <c:pt idx="28">
                  <c:v>1.3516999999999999</c:v>
                </c:pt>
                <c:pt idx="29">
                  <c:v>1.3826799999999999</c:v>
                </c:pt>
                <c:pt idx="30">
                  <c:v>1.4141699999999999</c:v>
                </c:pt>
                <c:pt idx="31">
                  <c:v>1.44607</c:v>
                </c:pt>
                <c:pt idx="32">
                  <c:v>1.4782500000000001</c:v>
                </c:pt>
                <c:pt idx="33">
                  <c:v>1.51058</c:v>
                </c:pt>
                <c:pt idx="34">
                  <c:v>1.5428900000000001</c:v>
                </c:pt>
                <c:pt idx="35">
                  <c:v>1.57501</c:v>
                </c:pt>
                <c:pt idx="36">
                  <c:v>1.60673</c:v>
                </c:pt>
                <c:pt idx="37">
                  <c:v>1.63784</c:v>
                </c:pt>
                <c:pt idx="38">
                  <c:v>1.6680699999999999</c:v>
                </c:pt>
                <c:pt idx="39">
                  <c:v>1.69716</c:v>
                </c:pt>
                <c:pt idx="40">
                  <c:v>1.72478</c:v>
                </c:pt>
                <c:pt idx="41">
                  <c:v>1.7505999999999999</c:v>
                </c:pt>
                <c:pt idx="42">
                  <c:v>1.77423</c:v>
                </c:pt>
                <c:pt idx="43">
                  <c:v>1.79528</c:v>
                </c:pt>
                <c:pt idx="44">
                  <c:v>1.8132999999999999</c:v>
                </c:pt>
                <c:pt idx="45">
                  <c:v>1.82782</c:v>
                </c:pt>
                <c:pt idx="46">
                  <c:v>1.83836</c:v>
                </c:pt>
                <c:pt idx="47">
                  <c:v>1.84443</c:v>
                </c:pt>
                <c:pt idx="48">
                  <c:v>1.8455299999999999</c:v>
                </c:pt>
                <c:pt idx="49">
                  <c:v>1.84121</c:v>
                </c:pt>
                <c:pt idx="50">
                  <c:v>1.83108</c:v>
                </c:pt>
                <c:pt idx="51">
                  <c:v>1.8148299999999999</c:v>
                </c:pt>
                <c:pt idx="52">
                  <c:v>1.7922899999999999</c:v>
                </c:pt>
                <c:pt idx="53">
                  <c:v>1.76342</c:v>
                </c:pt>
                <c:pt idx="54">
                  <c:v>1.72837</c:v>
                </c:pt>
                <c:pt idx="55">
                  <c:v>1.6874499999999999</c:v>
                </c:pt>
                <c:pt idx="56">
                  <c:v>1.64114</c:v>
                </c:pt>
                <c:pt idx="57">
                  <c:v>1.59005</c:v>
                </c:pt>
                <c:pt idx="58">
                  <c:v>1.53485</c:v>
                </c:pt>
                <c:pt idx="59">
                  <c:v>1.4762599999999999</c:v>
                </c:pt>
                <c:pt idx="60">
                  <c:v>1.41499</c:v>
                </c:pt>
                <c:pt idx="61">
                  <c:v>1.35168</c:v>
                </c:pt>
                <c:pt idx="62">
                  <c:v>1.2868999999999999</c:v>
                </c:pt>
                <c:pt idx="63">
                  <c:v>1.2211700000000001</c:v>
                </c:pt>
                <c:pt idx="64">
                  <c:v>1.15489</c:v>
                </c:pt>
                <c:pt idx="65">
                  <c:v>1.08843</c:v>
                </c:pt>
                <c:pt idx="66">
                  <c:v>1.0221100000000001</c:v>
                </c:pt>
                <c:pt idx="67">
                  <c:v>0.95622300000000005</c:v>
                </c:pt>
                <c:pt idx="68">
                  <c:v>0.89104399999999995</c:v>
                </c:pt>
                <c:pt idx="69">
                  <c:v>0.826847</c:v>
                </c:pt>
                <c:pt idx="70">
                  <c:v>0.76390199999999997</c:v>
                </c:pt>
                <c:pt idx="71">
                  <c:v>0.70248299999999997</c:v>
                </c:pt>
                <c:pt idx="72">
                  <c:v>0.64285800000000004</c:v>
                </c:pt>
                <c:pt idx="73">
                  <c:v>0.58529200000000003</c:v>
                </c:pt>
                <c:pt idx="74">
                  <c:v>0.53003599999999995</c:v>
                </c:pt>
                <c:pt idx="75">
                  <c:v>0.477321</c:v>
                </c:pt>
                <c:pt idx="76">
                  <c:v>0.42735400000000001</c:v>
                </c:pt>
                <c:pt idx="77">
                  <c:v>0.38030999999999998</c:v>
                </c:pt>
                <c:pt idx="78">
                  <c:v>0.33632499999999999</c:v>
                </c:pt>
                <c:pt idx="79">
                  <c:v>0.29549900000000001</c:v>
                </c:pt>
                <c:pt idx="80">
                  <c:v>0.25788899999999998</c:v>
                </c:pt>
                <c:pt idx="81">
                  <c:v>0.22350600000000001</c:v>
                </c:pt>
                <c:pt idx="82">
                  <c:v>0.19232299999999999</c:v>
                </c:pt>
                <c:pt idx="83">
                  <c:v>0.164272</c:v>
                </c:pt>
                <c:pt idx="84">
                  <c:v>0.13924800000000001</c:v>
                </c:pt>
                <c:pt idx="85">
                  <c:v>0.117115</c:v>
                </c:pt>
                <c:pt idx="86">
                  <c:v>9.7709799999999999E-2</c:v>
                </c:pt>
                <c:pt idx="87">
                  <c:v>8.0848000000000003E-2</c:v>
                </c:pt>
                <c:pt idx="88">
                  <c:v>6.6329799999999994E-2</c:v>
                </c:pt>
                <c:pt idx="89">
                  <c:v>5.3946000000000001E-2</c:v>
                </c:pt>
                <c:pt idx="90">
                  <c:v>4.3483300000000003E-2</c:v>
                </c:pt>
                <c:pt idx="91">
                  <c:v>3.4729599999999999E-2</c:v>
                </c:pt>
                <c:pt idx="92">
                  <c:v>2.7478499999999999E-2</c:v>
                </c:pt>
                <c:pt idx="93">
                  <c:v>2.1532699999999998E-2</c:v>
                </c:pt>
                <c:pt idx="94">
                  <c:v>1.6707799999999998E-2</c:v>
                </c:pt>
                <c:pt idx="95">
                  <c:v>1.28337E-2</c:v>
                </c:pt>
                <c:pt idx="96">
                  <c:v>9.75643E-3</c:v>
                </c:pt>
                <c:pt idx="97">
                  <c:v>7.3389800000000002E-3</c:v>
                </c:pt>
                <c:pt idx="98">
                  <c:v>5.4611E-3</c:v>
                </c:pt>
                <c:pt idx="99">
                  <c:v>4.0190099999999999E-3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60-4D38-AF95-DAF887000D7B}"/>
            </c:ext>
          </c:extLst>
        </c:ser>
        <c:ser>
          <c:idx val="3"/>
          <c:order val="3"/>
          <c:tx>
            <c:strRef>
              <c:f>P_i!$M$2</c:f>
              <c:strCache>
                <c:ptCount val="1"/>
                <c:pt idx="0">
                  <c:v>Scenario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P_i!$I$3:$I$102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P_i!$M$3:$M$102</c:f>
              <c:numCache>
                <c:formatCode>General</c:formatCode>
                <c:ptCount val="100"/>
                <c:pt idx="0">
                  <c:v>1.03843</c:v>
                </c:pt>
                <c:pt idx="1">
                  <c:v>1.04132</c:v>
                </c:pt>
                <c:pt idx="2">
                  <c:v>1.04593</c:v>
                </c:pt>
                <c:pt idx="3">
                  <c:v>1.05216</c:v>
                </c:pt>
                <c:pt idx="4">
                  <c:v>1.05989</c:v>
                </c:pt>
                <c:pt idx="5">
                  <c:v>1.0690599999999999</c:v>
                </c:pt>
                <c:pt idx="6">
                  <c:v>1.07959</c:v>
                </c:pt>
                <c:pt idx="7">
                  <c:v>1.09144</c:v>
                </c:pt>
                <c:pt idx="8">
                  <c:v>1.1045700000000001</c:v>
                </c:pt>
                <c:pt idx="9">
                  <c:v>1.1189499999999999</c:v>
                </c:pt>
                <c:pt idx="10">
                  <c:v>1.1345499999999999</c:v>
                </c:pt>
                <c:pt idx="11">
                  <c:v>1.1513599999999999</c:v>
                </c:pt>
                <c:pt idx="12">
                  <c:v>1.16937</c:v>
                </c:pt>
                <c:pt idx="13">
                  <c:v>1.18855</c:v>
                </c:pt>
                <c:pt idx="14">
                  <c:v>1.20889</c:v>
                </c:pt>
                <c:pt idx="15">
                  <c:v>1.2303900000000001</c:v>
                </c:pt>
                <c:pt idx="16">
                  <c:v>1.2530300000000001</c:v>
                </c:pt>
                <c:pt idx="17">
                  <c:v>1.2767999999999999</c:v>
                </c:pt>
                <c:pt idx="18">
                  <c:v>1.3016799999999999</c:v>
                </c:pt>
                <c:pt idx="19">
                  <c:v>1.32765</c:v>
                </c:pt>
                <c:pt idx="20">
                  <c:v>1.3546899999999999</c:v>
                </c:pt>
                <c:pt idx="21">
                  <c:v>1.3827700000000001</c:v>
                </c:pt>
                <c:pt idx="22">
                  <c:v>1.41184</c:v>
                </c:pt>
                <c:pt idx="23">
                  <c:v>1.44187</c:v>
                </c:pt>
                <c:pt idx="24">
                  <c:v>1.47279</c:v>
                </c:pt>
                <c:pt idx="25">
                  <c:v>1.5045599999999999</c:v>
                </c:pt>
                <c:pt idx="26">
                  <c:v>1.5370900000000001</c:v>
                </c:pt>
                <c:pt idx="27">
                  <c:v>1.57029</c:v>
                </c:pt>
                <c:pt idx="28">
                  <c:v>1.6040700000000001</c:v>
                </c:pt>
                <c:pt idx="29">
                  <c:v>1.63829</c:v>
                </c:pt>
                <c:pt idx="30">
                  <c:v>1.67283</c:v>
                </c:pt>
                <c:pt idx="31">
                  <c:v>1.7075199999999999</c:v>
                </c:pt>
                <c:pt idx="32">
                  <c:v>1.7421800000000001</c:v>
                </c:pt>
                <c:pt idx="33">
                  <c:v>1.7766</c:v>
                </c:pt>
                <c:pt idx="34">
                  <c:v>1.81054</c:v>
                </c:pt>
                <c:pt idx="35">
                  <c:v>1.84371</c:v>
                </c:pt>
                <c:pt idx="36">
                  <c:v>1.8757999999999999</c:v>
                </c:pt>
                <c:pt idx="37">
                  <c:v>1.90645</c:v>
                </c:pt>
                <c:pt idx="38">
                  <c:v>1.9352400000000001</c:v>
                </c:pt>
                <c:pt idx="39">
                  <c:v>1.9617</c:v>
                </c:pt>
                <c:pt idx="40">
                  <c:v>1.9853000000000001</c:v>
                </c:pt>
                <c:pt idx="41">
                  <c:v>2.00542</c:v>
                </c:pt>
                <c:pt idx="42">
                  <c:v>2.0213899999999998</c:v>
                </c:pt>
                <c:pt idx="43">
                  <c:v>2.0324399999999998</c:v>
                </c:pt>
                <c:pt idx="44">
                  <c:v>2.0377399999999999</c:v>
                </c:pt>
                <c:pt idx="45">
                  <c:v>2.0363899999999999</c:v>
                </c:pt>
                <c:pt idx="46">
                  <c:v>2.0274800000000002</c:v>
                </c:pt>
                <c:pt idx="47">
                  <c:v>2.0100699999999998</c:v>
                </c:pt>
                <c:pt idx="48">
                  <c:v>1.9832799999999999</c:v>
                </c:pt>
                <c:pt idx="49">
                  <c:v>1.9463900000000001</c:v>
                </c:pt>
                <c:pt idx="50">
                  <c:v>1.89889</c:v>
                </c:pt>
                <c:pt idx="51">
                  <c:v>1.8405899999999999</c:v>
                </c:pt>
                <c:pt idx="52">
                  <c:v>1.77172</c:v>
                </c:pt>
                <c:pt idx="53">
                  <c:v>1.6930000000000001</c:v>
                </c:pt>
                <c:pt idx="54">
                  <c:v>1.6056299999999999</c:v>
                </c:pt>
                <c:pt idx="55">
                  <c:v>1.51126</c:v>
                </c:pt>
                <c:pt idx="56">
                  <c:v>1.41188</c:v>
                </c:pt>
                <c:pt idx="57">
                  <c:v>1.3096699999999999</c:v>
                </c:pt>
                <c:pt idx="58">
                  <c:v>1.2067699999999999</c:v>
                </c:pt>
                <c:pt idx="59">
                  <c:v>1.10517</c:v>
                </c:pt>
                <c:pt idx="60">
                  <c:v>1.0065299999999999</c:v>
                </c:pt>
                <c:pt idx="61">
                  <c:v>0.91213599999999995</c:v>
                </c:pt>
                <c:pt idx="62">
                  <c:v>0.82287900000000003</c:v>
                </c:pt>
                <c:pt idx="63">
                  <c:v>0.73928899999999997</c:v>
                </c:pt>
                <c:pt idx="64">
                  <c:v>0.66160200000000002</c:v>
                </c:pt>
                <c:pt idx="65">
                  <c:v>0.58982999999999997</c:v>
                </c:pt>
                <c:pt idx="66">
                  <c:v>0.52383500000000005</c:v>
                </c:pt>
                <c:pt idx="67">
                  <c:v>0.46338499999999999</c:v>
                </c:pt>
                <c:pt idx="68">
                  <c:v>0.40820499999999998</c:v>
                </c:pt>
                <c:pt idx="69">
                  <c:v>0.35799799999999998</c:v>
                </c:pt>
                <c:pt idx="70">
                  <c:v>0.31247000000000003</c:v>
                </c:pt>
                <c:pt idx="71">
                  <c:v>0.27133699999999999</c:v>
                </c:pt>
                <c:pt idx="72">
                  <c:v>0.23432800000000001</c:v>
                </c:pt>
                <c:pt idx="73">
                  <c:v>0.201183</c:v>
                </c:pt>
                <c:pt idx="74">
                  <c:v>0.171652</c:v>
                </c:pt>
                <c:pt idx="75">
                  <c:v>0.14549100000000001</c:v>
                </c:pt>
                <c:pt idx="76">
                  <c:v>0.122461</c:v>
                </c:pt>
                <c:pt idx="77">
                  <c:v>0.102325</c:v>
                </c:pt>
                <c:pt idx="78">
                  <c:v>8.4847099999999995E-2</c:v>
                </c:pt>
                <c:pt idx="79">
                  <c:v>6.9794800000000004E-2</c:v>
                </c:pt>
                <c:pt idx="80">
                  <c:v>5.6937399999999999E-2</c:v>
                </c:pt>
                <c:pt idx="81">
                  <c:v>4.6049399999999997E-2</c:v>
                </c:pt>
                <c:pt idx="82">
                  <c:v>3.6911899999999997E-2</c:v>
                </c:pt>
                <c:pt idx="83">
                  <c:v>2.93152E-2</c:v>
                </c:pt>
                <c:pt idx="84">
                  <c:v>2.3060899999999999E-2</c:v>
                </c:pt>
                <c:pt idx="85">
                  <c:v>1.7963199999999999E-2</c:v>
                </c:pt>
                <c:pt idx="86">
                  <c:v>1.38513E-2</c:v>
                </c:pt>
                <c:pt idx="87">
                  <c:v>1.05699E-2</c:v>
                </c:pt>
                <c:pt idx="88">
                  <c:v>7.9799599999999995E-3</c:v>
                </c:pt>
                <c:pt idx="89">
                  <c:v>5.95869E-3</c:v>
                </c:pt>
                <c:pt idx="90">
                  <c:v>4.3994500000000001E-3</c:v>
                </c:pt>
                <c:pt idx="91">
                  <c:v>3.21084E-3</c:v>
                </c:pt>
                <c:pt idx="92">
                  <c:v>2.3157099999999999E-3</c:v>
                </c:pt>
                <c:pt idx="93">
                  <c:v>1.64996E-3</c:v>
                </c:pt>
                <c:pt idx="94">
                  <c:v>1.16106E-3</c:v>
                </c:pt>
                <c:pt idx="95">
                  <c:v>8.0668700000000005E-4</c:v>
                </c:pt>
                <c:pt idx="96">
                  <c:v>5.5321600000000004E-4</c:v>
                </c:pt>
                <c:pt idx="97">
                  <c:v>3.74366E-4</c:v>
                </c:pt>
                <c:pt idx="98">
                  <c:v>2.4990800000000002E-4</c:v>
                </c:pt>
                <c:pt idx="99">
                  <c:v>1.6451899999999999E-4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60-4D38-AF95-DAF88700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512127"/>
        <c:axId val="1945513087"/>
      </c:scatterChart>
      <c:valAx>
        <c:axId val="194551212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5513087"/>
        <c:crosses val="autoZero"/>
        <c:crossBetween val="midCat"/>
      </c:valAx>
      <c:valAx>
        <c:axId val="19455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551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Defender</a:t>
            </a:r>
            <a:r>
              <a:rPr lang="fr-BE" baseline="0"/>
              <a:t> Best Response P</a:t>
            </a:r>
            <a:r>
              <a:rPr lang="fr-BE" baseline="-25000"/>
              <a:t>i</a:t>
            </a:r>
            <a:r>
              <a:rPr lang="fr-BE" baseline="30000"/>
              <a:t>* </a:t>
            </a:r>
            <a:r>
              <a:rPr lang="fr-BE" baseline="0"/>
              <a:t>to Challenger Scenario</a:t>
            </a:r>
            <a:r>
              <a:rPr lang="fr-BE"/>
              <a:t> </a:t>
            </a:r>
            <a:endParaRPr lang="fr-BE" baseline="-25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P_i!$B$2</c:f>
              <c:strCache>
                <c:ptCount val="1"/>
                <c:pt idx="0">
                  <c:v>Scenario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P_i!$A$3:$A$102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P_i!$B$3:$B$102</c:f>
              <c:numCache>
                <c:formatCode>General</c:formatCode>
                <c:ptCount val="100"/>
                <c:pt idx="0">
                  <c:v>1.2541199999999999</c:v>
                </c:pt>
                <c:pt idx="1">
                  <c:v>1.25743</c:v>
                </c:pt>
                <c:pt idx="2">
                  <c:v>1.2625599999999999</c:v>
                </c:pt>
                <c:pt idx="3">
                  <c:v>1.2692600000000001</c:v>
                </c:pt>
                <c:pt idx="4">
                  <c:v>1.27735</c:v>
                </c:pt>
                <c:pt idx="5">
                  <c:v>1.2866599999999999</c:v>
                </c:pt>
                <c:pt idx="6">
                  <c:v>1.2970600000000001</c:v>
                </c:pt>
                <c:pt idx="7">
                  <c:v>1.3084499999999999</c:v>
                </c:pt>
                <c:pt idx="8">
                  <c:v>1.3207199999999999</c:v>
                </c:pt>
                <c:pt idx="9">
                  <c:v>1.33379</c:v>
                </c:pt>
                <c:pt idx="10">
                  <c:v>1.3475999999999999</c:v>
                </c:pt>
                <c:pt idx="11">
                  <c:v>1.36205</c:v>
                </c:pt>
                <c:pt idx="12">
                  <c:v>1.3770899999999999</c:v>
                </c:pt>
                <c:pt idx="13">
                  <c:v>1.3926499999999999</c:v>
                </c:pt>
                <c:pt idx="14">
                  <c:v>1.40866</c:v>
                </c:pt>
                <c:pt idx="15">
                  <c:v>1.4250400000000001</c:v>
                </c:pt>
                <c:pt idx="16">
                  <c:v>1.4417199999999999</c:v>
                </c:pt>
                <c:pt idx="17">
                  <c:v>1.45861</c:v>
                </c:pt>
                <c:pt idx="18">
                  <c:v>1.47563</c:v>
                </c:pt>
                <c:pt idx="19">
                  <c:v>1.49268</c:v>
                </c:pt>
                <c:pt idx="20">
                  <c:v>1.50966</c:v>
                </c:pt>
                <c:pt idx="21">
                  <c:v>1.5264599999999999</c:v>
                </c:pt>
                <c:pt idx="22">
                  <c:v>1.54297</c:v>
                </c:pt>
                <c:pt idx="23">
                  <c:v>1.55905</c:v>
                </c:pt>
                <c:pt idx="24">
                  <c:v>1.5745800000000001</c:v>
                </c:pt>
                <c:pt idx="25">
                  <c:v>1.58941</c:v>
                </c:pt>
                <c:pt idx="26">
                  <c:v>1.60338</c:v>
                </c:pt>
                <c:pt idx="27">
                  <c:v>1.61635</c:v>
                </c:pt>
                <c:pt idx="28">
                  <c:v>1.6281399999999999</c:v>
                </c:pt>
                <c:pt idx="29">
                  <c:v>1.63859</c:v>
                </c:pt>
                <c:pt idx="30">
                  <c:v>1.6475200000000001</c:v>
                </c:pt>
                <c:pt idx="31">
                  <c:v>1.65476</c:v>
                </c:pt>
                <c:pt idx="32">
                  <c:v>1.6601399999999999</c:v>
                </c:pt>
                <c:pt idx="33">
                  <c:v>1.6634800000000001</c:v>
                </c:pt>
                <c:pt idx="34">
                  <c:v>1.66462</c:v>
                </c:pt>
                <c:pt idx="35">
                  <c:v>1.6634199999999999</c:v>
                </c:pt>
                <c:pt idx="36">
                  <c:v>1.65974</c:v>
                </c:pt>
                <c:pt idx="37">
                  <c:v>1.6534500000000001</c:v>
                </c:pt>
                <c:pt idx="38">
                  <c:v>1.6444799999999999</c:v>
                </c:pt>
                <c:pt idx="39">
                  <c:v>1.6327700000000001</c:v>
                </c:pt>
                <c:pt idx="40">
                  <c:v>1.6183000000000001</c:v>
                </c:pt>
                <c:pt idx="41">
                  <c:v>1.6011</c:v>
                </c:pt>
                <c:pt idx="42">
                  <c:v>1.5812600000000001</c:v>
                </c:pt>
                <c:pt idx="43">
                  <c:v>1.5589</c:v>
                </c:pt>
                <c:pt idx="44">
                  <c:v>1.5342199999999999</c:v>
                </c:pt>
                <c:pt idx="45">
                  <c:v>1.5074799999999999</c:v>
                </c:pt>
                <c:pt idx="46">
                  <c:v>1.47899</c:v>
                </c:pt>
                <c:pt idx="47">
                  <c:v>1.4491099999999999</c:v>
                </c:pt>
                <c:pt idx="48">
                  <c:v>1.4182399999999999</c:v>
                </c:pt>
                <c:pt idx="49">
                  <c:v>1.3868</c:v>
                </c:pt>
                <c:pt idx="50">
                  <c:v>1.3552</c:v>
                </c:pt>
                <c:pt idx="51">
                  <c:v>1.3238099999999999</c:v>
                </c:pt>
                <c:pt idx="52">
                  <c:v>1.2929200000000001</c:v>
                </c:pt>
                <c:pt idx="53">
                  <c:v>1.2627200000000001</c:v>
                </c:pt>
                <c:pt idx="54">
                  <c:v>1.23323</c:v>
                </c:pt>
                <c:pt idx="55">
                  <c:v>1.20434</c:v>
                </c:pt>
                <c:pt idx="56">
                  <c:v>1.1757500000000001</c:v>
                </c:pt>
                <c:pt idx="57">
                  <c:v>1.14703</c:v>
                </c:pt>
                <c:pt idx="58">
                  <c:v>1.1176299999999999</c:v>
                </c:pt>
                <c:pt idx="59">
                  <c:v>1.0869200000000001</c:v>
                </c:pt>
                <c:pt idx="60">
                  <c:v>1.05433</c:v>
                </c:pt>
                <c:pt idx="61">
                  <c:v>1.01932</c:v>
                </c:pt>
                <c:pt idx="62">
                  <c:v>0.98151600000000006</c:v>
                </c:pt>
                <c:pt idx="63">
                  <c:v>0.94070399999999998</c:v>
                </c:pt>
                <c:pt idx="64">
                  <c:v>0.89687300000000003</c:v>
                </c:pt>
                <c:pt idx="65">
                  <c:v>0.85020200000000001</c:v>
                </c:pt>
                <c:pt idx="66">
                  <c:v>0.80104399999999998</c:v>
                </c:pt>
                <c:pt idx="67">
                  <c:v>0.74989099999999997</c:v>
                </c:pt>
                <c:pt idx="68">
                  <c:v>0.69733299999999998</c:v>
                </c:pt>
                <c:pt idx="69">
                  <c:v>0.64401900000000001</c:v>
                </c:pt>
                <c:pt idx="70">
                  <c:v>0.59061900000000001</c:v>
                </c:pt>
                <c:pt idx="71">
                  <c:v>0.53778599999999999</c:v>
                </c:pt>
                <c:pt idx="72">
                  <c:v>0.48613499999999998</c:v>
                </c:pt>
                <c:pt idx="73">
                  <c:v>0.43621700000000002</c:v>
                </c:pt>
                <c:pt idx="74">
                  <c:v>0.388511</c:v>
                </c:pt>
                <c:pt idx="75">
                  <c:v>0.34340799999999999</c:v>
                </c:pt>
                <c:pt idx="76">
                  <c:v>0.30121300000000001</c:v>
                </c:pt>
                <c:pt idx="77">
                  <c:v>0.26214599999999999</c:v>
                </c:pt>
                <c:pt idx="78">
                  <c:v>0.22633800000000001</c:v>
                </c:pt>
                <c:pt idx="79">
                  <c:v>0.19384599999999999</c:v>
                </c:pt>
                <c:pt idx="80">
                  <c:v>0.164655</c:v>
                </c:pt>
                <c:pt idx="81">
                  <c:v>0.13869000000000001</c:v>
                </c:pt>
                <c:pt idx="82">
                  <c:v>0.11582099999999999</c:v>
                </c:pt>
                <c:pt idx="83">
                  <c:v>9.5879199999999998E-2</c:v>
                </c:pt>
                <c:pt idx="84">
                  <c:v>7.8664399999999995E-2</c:v>
                </c:pt>
                <c:pt idx="85">
                  <c:v>6.3953200000000002E-2</c:v>
                </c:pt>
                <c:pt idx="86">
                  <c:v>5.1509600000000003E-2</c:v>
                </c:pt>
                <c:pt idx="87">
                  <c:v>4.1092799999999999E-2</c:v>
                </c:pt>
                <c:pt idx="88">
                  <c:v>3.2463899999999997E-2</c:v>
                </c:pt>
                <c:pt idx="89">
                  <c:v>2.5392000000000001E-2</c:v>
                </c:pt>
                <c:pt idx="90">
                  <c:v>1.9658800000000001E-2</c:v>
                </c:pt>
                <c:pt idx="91">
                  <c:v>1.50619E-2</c:v>
                </c:pt>
                <c:pt idx="92">
                  <c:v>1.14173E-2</c:v>
                </c:pt>
                <c:pt idx="93">
                  <c:v>8.5605200000000003E-3</c:v>
                </c:pt>
                <c:pt idx="94">
                  <c:v>6.3472800000000003E-3</c:v>
                </c:pt>
                <c:pt idx="95">
                  <c:v>4.6528300000000002E-3</c:v>
                </c:pt>
                <c:pt idx="96">
                  <c:v>3.3711499999999998E-3</c:v>
                </c:pt>
                <c:pt idx="97">
                  <c:v>2.4135699999999999E-3</c:v>
                </c:pt>
                <c:pt idx="98">
                  <c:v>1.70706E-3</c:v>
                </c:pt>
                <c:pt idx="99">
                  <c:v>1.19243E-3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26-47D8-A23E-F30198447E71}"/>
            </c:ext>
          </c:extLst>
        </c:ser>
        <c:ser>
          <c:idx val="1"/>
          <c:order val="1"/>
          <c:tx>
            <c:strRef>
              <c:f>P_i!$C$2</c:f>
              <c:strCache>
                <c:ptCount val="1"/>
                <c:pt idx="0">
                  <c:v>Scenario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P_i!$A$3:$A$102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P_i!$C$3:$C$102</c:f>
              <c:numCache>
                <c:formatCode>General</c:formatCode>
                <c:ptCount val="100"/>
                <c:pt idx="0">
                  <c:v>0.56954700000000003</c:v>
                </c:pt>
                <c:pt idx="1">
                  <c:v>0.571183</c:v>
                </c:pt>
                <c:pt idx="2">
                  <c:v>0.57384800000000002</c:v>
                </c:pt>
                <c:pt idx="3">
                  <c:v>0.57750800000000002</c:v>
                </c:pt>
                <c:pt idx="4">
                  <c:v>0.58213599999999999</c:v>
                </c:pt>
                <c:pt idx="5">
                  <c:v>0.58771499999999999</c:v>
                </c:pt>
                <c:pt idx="6">
                  <c:v>0.59423599999999999</c:v>
                </c:pt>
                <c:pt idx="7">
                  <c:v>0.60169399999999995</c:v>
                </c:pt>
                <c:pt idx="8">
                  <c:v>0.610093</c:v>
                </c:pt>
                <c:pt idx="9">
                  <c:v>0.61944100000000002</c:v>
                </c:pt>
                <c:pt idx="10">
                  <c:v>0.62975000000000003</c:v>
                </c:pt>
                <c:pt idx="11">
                  <c:v>0.641038</c:v>
                </c:pt>
                <c:pt idx="12">
                  <c:v>0.65332500000000004</c:v>
                </c:pt>
                <c:pt idx="13">
                  <c:v>0.66663700000000004</c:v>
                </c:pt>
                <c:pt idx="14">
                  <c:v>0.68100099999999997</c:v>
                </c:pt>
                <c:pt idx="15">
                  <c:v>0.69644899999999998</c:v>
                </c:pt>
                <c:pt idx="16">
                  <c:v>0.71301499999999995</c:v>
                </c:pt>
                <c:pt idx="17">
                  <c:v>0.73073600000000005</c:v>
                </c:pt>
                <c:pt idx="18">
                  <c:v>0.74965300000000001</c:v>
                </c:pt>
                <c:pt idx="19">
                  <c:v>0.76980599999999999</c:v>
                </c:pt>
                <c:pt idx="20">
                  <c:v>0.79124000000000005</c:v>
                </c:pt>
                <c:pt idx="21">
                  <c:v>0.81400099999999997</c:v>
                </c:pt>
                <c:pt idx="22">
                  <c:v>0.83813599999999999</c:v>
                </c:pt>
                <c:pt idx="23">
                  <c:v>0.86369300000000004</c:v>
                </c:pt>
                <c:pt idx="24">
                  <c:v>0.89072200000000001</c:v>
                </c:pt>
                <c:pt idx="25">
                  <c:v>0.91927199999999998</c:v>
                </c:pt>
                <c:pt idx="26">
                  <c:v>0.94938999999999996</c:v>
                </c:pt>
                <c:pt idx="27">
                  <c:v>0.98112500000000002</c:v>
                </c:pt>
                <c:pt idx="28">
                  <c:v>1.0145200000000001</c:v>
                </c:pt>
                <c:pt idx="29">
                  <c:v>1.04962</c:v>
                </c:pt>
                <c:pt idx="30">
                  <c:v>1.0864499999999999</c:v>
                </c:pt>
                <c:pt idx="31">
                  <c:v>1.1250500000000001</c:v>
                </c:pt>
                <c:pt idx="32">
                  <c:v>1.16544</c:v>
                </c:pt>
                <c:pt idx="33">
                  <c:v>1.2076199999999999</c:v>
                </c:pt>
                <c:pt idx="34">
                  <c:v>1.2515799999999999</c:v>
                </c:pt>
                <c:pt idx="35">
                  <c:v>1.2972999999999999</c:v>
                </c:pt>
                <c:pt idx="36">
                  <c:v>1.3447100000000001</c:v>
                </c:pt>
                <c:pt idx="37">
                  <c:v>1.3937200000000001</c:v>
                </c:pt>
                <c:pt idx="38">
                  <c:v>1.4442200000000001</c:v>
                </c:pt>
                <c:pt idx="39">
                  <c:v>1.4960100000000001</c:v>
                </c:pt>
                <c:pt idx="40">
                  <c:v>1.5488599999999999</c:v>
                </c:pt>
                <c:pt idx="41">
                  <c:v>1.6024400000000001</c:v>
                </c:pt>
                <c:pt idx="42">
                  <c:v>1.6563399999999999</c:v>
                </c:pt>
                <c:pt idx="43">
                  <c:v>1.7100500000000001</c:v>
                </c:pt>
                <c:pt idx="44">
                  <c:v>1.76292</c:v>
                </c:pt>
                <c:pt idx="45">
                  <c:v>1.81419</c:v>
                </c:pt>
                <c:pt idx="46">
                  <c:v>1.86293</c:v>
                </c:pt>
                <c:pt idx="47">
                  <c:v>1.90811</c:v>
                </c:pt>
                <c:pt idx="48">
                  <c:v>1.94855</c:v>
                </c:pt>
                <c:pt idx="49">
                  <c:v>1.98302</c:v>
                </c:pt>
                <c:pt idx="50">
                  <c:v>2.0102500000000001</c:v>
                </c:pt>
                <c:pt idx="51">
                  <c:v>2.0290599999999999</c:v>
                </c:pt>
                <c:pt idx="52">
                  <c:v>2.0384500000000001</c:v>
                </c:pt>
                <c:pt idx="53">
                  <c:v>2.0377100000000001</c:v>
                </c:pt>
                <c:pt idx="54">
                  <c:v>2.0265</c:v>
                </c:pt>
                <c:pt idx="55">
                  <c:v>2.0049700000000001</c:v>
                </c:pt>
                <c:pt idx="56">
                  <c:v>1.9736899999999999</c:v>
                </c:pt>
                <c:pt idx="57">
                  <c:v>1.9336599999999999</c:v>
                </c:pt>
                <c:pt idx="58">
                  <c:v>1.88618</c:v>
                </c:pt>
                <c:pt idx="59">
                  <c:v>1.8327</c:v>
                </c:pt>
                <c:pt idx="60">
                  <c:v>1.7746999999999999</c:v>
                </c:pt>
                <c:pt idx="61">
                  <c:v>1.71353</c:v>
                </c:pt>
                <c:pt idx="62">
                  <c:v>1.6503300000000001</c:v>
                </c:pt>
                <c:pt idx="63">
                  <c:v>1.5860000000000001</c:v>
                </c:pt>
                <c:pt idx="64">
                  <c:v>1.5212000000000001</c:v>
                </c:pt>
                <c:pt idx="65">
                  <c:v>1.45634</c:v>
                </c:pt>
                <c:pt idx="66">
                  <c:v>1.3916900000000001</c:v>
                </c:pt>
                <c:pt idx="67">
                  <c:v>1.32734</c:v>
                </c:pt>
                <c:pt idx="68">
                  <c:v>1.26335</c:v>
                </c:pt>
                <c:pt idx="69">
                  <c:v>1.1997100000000001</c:v>
                </c:pt>
                <c:pt idx="70">
                  <c:v>1.13642</c:v>
                </c:pt>
                <c:pt idx="71">
                  <c:v>1.07348</c:v>
                </c:pt>
                <c:pt idx="72">
                  <c:v>1.0109399999999999</c:v>
                </c:pt>
                <c:pt idx="73">
                  <c:v>0.94887699999999997</c:v>
                </c:pt>
                <c:pt idx="74">
                  <c:v>0.88741899999999996</c:v>
                </c:pt>
                <c:pt idx="75">
                  <c:v>0.82672699999999999</c:v>
                </c:pt>
                <c:pt idx="76">
                  <c:v>0.76699700000000004</c:v>
                </c:pt>
                <c:pt idx="77">
                  <c:v>0.708453</c:v>
                </c:pt>
                <c:pt idx="78">
                  <c:v>0.651335</c:v>
                </c:pt>
                <c:pt idx="79">
                  <c:v>0.59589300000000001</c:v>
                </c:pt>
                <c:pt idx="80">
                  <c:v>0.54237500000000005</c:v>
                </c:pt>
                <c:pt idx="81">
                  <c:v>0.49102000000000001</c:v>
                </c:pt>
                <c:pt idx="82">
                  <c:v>0.44204700000000002</c:v>
                </c:pt>
                <c:pt idx="83">
                  <c:v>0.395652</c:v>
                </c:pt>
                <c:pt idx="84">
                  <c:v>0.351997</c:v>
                </c:pt>
                <c:pt idx="85">
                  <c:v>0.31121100000000002</c:v>
                </c:pt>
                <c:pt idx="86">
                  <c:v>0.27338200000000001</c:v>
                </c:pt>
                <c:pt idx="87">
                  <c:v>0.23855699999999999</c:v>
                </c:pt>
                <c:pt idx="88">
                  <c:v>0.20674600000000001</c:v>
                </c:pt>
                <c:pt idx="89">
                  <c:v>0.17791499999999999</c:v>
                </c:pt>
                <c:pt idx="90">
                  <c:v>0.15199499999999999</c:v>
                </c:pt>
                <c:pt idx="91">
                  <c:v>0.128885</c:v>
                </c:pt>
                <c:pt idx="92">
                  <c:v>0.10845200000000001</c:v>
                </c:pt>
                <c:pt idx="93">
                  <c:v>9.0543100000000001E-2</c:v>
                </c:pt>
                <c:pt idx="94">
                  <c:v>7.4982599999999996E-2</c:v>
                </c:pt>
                <c:pt idx="95">
                  <c:v>6.1583600000000002E-2</c:v>
                </c:pt>
                <c:pt idx="96">
                  <c:v>5.0151000000000001E-2</c:v>
                </c:pt>
                <c:pt idx="97">
                  <c:v>4.0486899999999999E-2</c:v>
                </c:pt>
                <c:pt idx="98">
                  <c:v>3.2395100000000003E-2</c:v>
                </c:pt>
                <c:pt idx="99">
                  <c:v>2.5685099999999999E-2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26-47D8-A23E-F30198447E71}"/>
            </c:ext>
          </c:extLst>
        </c:ser>
        <c:ser>
          <c:idx val="2"/>
          <c:order val="2"/>
          <c:tx>
            <c:strRef>
              <c:f>P_i!$D$2</c:f>
              <c:strCache>
                <c:ptCount val="1"/>
                <c:pt idx="0">
                  <c:v>Scenario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P_i!$A$3:$A$102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P_i!$D$3:$D$102</c:f>
              <c:numCache>
                <c:formatCode>General</c:formatCode>
                <c:ptCount val="100"/>
                <c:pt idx="0">
                  <c:v>0.83603899999999998</c:v>
                </c:pt>
                <c:pt idx="1">
                  <c:v>0.83835199999999999</c:v>
                </c:pt>
                <c:pt idx="2">
                  <c:v>0.84203799999999995</c:v>
                </c:pt>
                <c:pt idx="3">
                  <c:v>0.84699100000000005</c:v>
                </c:pt>
                <c:pt idx="4">
                  <c:v>0.85312600000000005</c:v>
                </c:pt>
                <c:pt idx="5">
                  <c:v>0.86037399999999997</c:v>
                </c:pt>
                <c:pt idx="6">
                  <c:v>0.86867899999999998</c:v>
                </c:pt>
                <c:pt idx="7">
                  <c:v>0.87799899999999997</c:v>
                </c:pt>
                <c:pt idx="8">
                  <c:v>0.88829499999999995</c:v>
                </c:pt>
                <c:pt idx="9">
                  <c:v>0.89954100000000004</c:v>
                </c:pt>
                <c:pt idx="10">
                  <c:v>0.91171100000000005</c:v>
                </c:pt>
                <c:pt idx="11">
                  <c:v>0.92478499999999997</c:v>
                </c:pt>
                <c:pt idx="12">
                  <c:v>0.93874599999999997</c:v>
                </c:pt>
                <c:pt idx="13">
                  <c:v>0.95357800000000004</c:v>
                </c:pt>
                <c:pt idx="14">
                  <c:v>0.96926400000000001</c:v>
                </c:pt>
                <c:pt idx="15">
                  <c:v>0.98579099999999997</c:v>
                </c:pt>
                <c:pt idx="16">
                  <c:v>1.0031399999999999</c:v>
                </c:pt>
                <c:pt idx="17">
                  <c:v>1.02129</c:v>
                </c:pt>
                <c:pt idx="18">
                  <c:v>1.04023</c:v>
                </c:pt>
                <c:pt idx="19">
                  <c:v>1.05993</c:v>
                </c:pt>
                <c:pt idx="20">
                  <c:v>1.08036</c:v>
                </c:pt>
                <c:pt idx="21">
                  <c:v>1.1014999999999999</c:v>
                </c:pt>
                <c:pt idx="22">
                  <c:v>1.1232899999999999</c:v>
                </c:pt>
                <c:pt idx="23">
                  <c:v>1.14571</c:v>
                </c:pt>
                <c:pt idx="24">
                  <c:v>1.1687000000000001</c:v>
                </c:pt>
                <c:pt idx="25">
                  <c:v>1.1921999999999999</c:v>
                </c:pt>
                <c:pt idx="26">
                  <c:v>1.21614</c:v>
                </c:pt>
                <c:pt idx="27">
                  <c:v>1.24047</c:v>
                </c:pt>
                <c:pt idx="28">
                  <c:v>1.26508</c:v>
                </c:pt>
                <c:pt idx="29">
                  <c:v>1.2899</c:v>
                </c:pt>
                <c:pt idx="30">
                  <c:v>1.31481</c:v>
                </c:pt>
                <c:pt idx="31">
                  <c:v>1.33972</c:v>
                </c:pt>
                <c:pt idx="32">
                  <c:v>1.3644799999999999</c:v>
                </c:pt>
                <c:pt idx="33">
                  <c:v>1.3889800000000001</c:v>
                </c:pt>
                <c:pt idx="34">
                  <c:v>1.41307</c:v>
                </c:pt>
                <c:pt idx="35">
                  <c:v>1.43659</c:v>
                </c:pt>
                <c:pt idx="36">
                  <c:v>1.45939</c:v>
                </c:pt>
                <c:pt idx="37">
                  <c:v>1.4813099999999999</c:v>
                </c:pt>
                <c:pt idx="38">
                  <c:v>1.5021599999999999</c:v>
                </c:pt>
                <c:pt idx="39">
                  <c:v>1.52179</c:v>
                </c:pt>
                <c:pt idx="40">
                  <c:v>1.5400100000000001</c:v>
                </c:pt>
                <c:pt idx="41">
                  <c:v>1.5566599999999999</c:v>
                </c:pt>
                <c:pt idx="42">
                  <c:v>1.57159</c:v>
                </c:pt>
                <c:pt idx="43">
                  <c:v>1.58464</c:v>
                </c:pt>
                <c:pt idx="44">
                  <c:v>1.5956999999999999</c:v>
                </c:pt>
                <c:pt idx="45">
                  <c:v>1.60466</c:v>
                </c:pt>
                <c:pt idx="46">
                  <c:v>1.6114599999999999</c:v>
                </c:pt>
                <c:pt idx="47">
                  <c:v>1.6160699999999999</c:v>
                </c:pt>
                <c:pt idx="48">
                  <c:v>1.6184799999999999</c:v>
                </c:pt>
                <c:pt idx="49">
                  <c:v>1.6187199999999999</c:v>
                </c:pt>
                <c:pt idx="50">
                  <c:v>1.61686</c:v>
                </c:pt>
                <c:pt idx="51">
                  <c:v>1.61297</c:v>
                </c:pt>
                <c:pt idx="52">
                  <c:v>1.6071299999999999</c:v>
                </c:pt>
                <c:pt idx="53">
                  <c:v>1.59938</c:v>
                </c:pt>
                <c:pt idx="54">
                  <c:v>1.58975</c:v>
                </c:pt>
                <c:pt idx="55">
                  <c:v>1.57819</c:v>
                </c:pt>
                <c:pt idx="56">
                  <c:v>1.5645899999999999</c:v>
                </c:pt>
                <c:pt idx="57">
                  <c:v>1.54874</c:v>
                </c:pt>
                <c:pt idx="58">
                  <c:v>1.5304</c:v>
                </c:pt>
                <c:pt idx="59">
                  <c:v>1.50925</c:v>
                </c:pt>
                <c:pt idx="60">
                  <c:v>1.4849699999999999</c:v>
                </c:pt>
                <c:pt idx="61">
                  <c:v>1.4572400000000001</c:v>
                </c:pt>
                <c:pt idx="62">
                  <c:v>1.42581</c:v>
                </c:pt>
                <c:pt idx="63">
                  <c:v>1.3905000000000001</c:v>
                </c:pt>
                <c:pt idx="64">
                  <c:v>1.3512200000000001</c:v>
                </c:pt>
                <c:pt idx="65">
                  <c:v>1.3080099999999999</c:v>
                </c:pt>
                <c:pt idx="66">
                  <c:v>1.26098</c:v>
                </c:pt>
                <c:pt idx="67">
                  <c:v>1.21041</c:v>
                </c:pt>
                <c:pt idx="68">
                  <c:v>1.1566099999999999</c:v>
                </c:pt>
                <c:pt idx="69">
                  <c:v>1.1000099999999999</c:v>
                </c:pt>
                <c:pt idx="70">
                  <c:v>1.0410999999999999</c:v>
                </c:pt>
                <c:pt idx="71">
                  <c:v>0.98039399999999999</c:v>
                </c:pt>
                <c:pt idx="72">
                  <c:v>0.918462</c:v>
                </c:pt>
                <c:pt idx="73">
                  <c:v>0.85587400000000002</c:v>
                </c:pt>
                <c:pt idx="74">
                  <c:v>0.79320199999999996</c:v>
                </c:pt>
                <c:pt idx="75">
                  <c:v>0.73100600000000004</c:v>
                </c:pt>
                <c:pt idx="76">
                  <c:v>0.66981999999999997</c:v>
                </c:pt>
                <c:pt idx="77">
                  <c:v>0.61014100000000004</c:v>
                </c:pt>
                <c:pt idx="78">
                  <c:v>0.55242199999999997</c:v>
                </c:pt>
                <c:pt idx="79">
                  <c:v>0.49706400000000001</c:v>
                </c:pt>
                <c:pt idx="80">
                  <c:v>0.44441199999999997</c:v>
                </c:pt>
                <c:pt idx="81">
                  <c:v>0.39474700000000001</c:v>
                </c:pt>
                <c:pt idx="82">
                  <c:v>0.34828799999999999</c:v>
                </c:pt>
                <c:pt idx="83">
                  <c:v>0.30519000000000002</c:v>
                </c:pt>
                <c:pt idx="84">
                  <c:v>0.265544</c:v>
                </c:pt>
                <c:pt idx="85">
                  <c:v>0.229382</c:v>
                </c:pt>
                <c:pt idx="86">
                  <c:v>0.19667999999999999</c:v>
                </c:pt>
                <c:pt idx="87">
                  <c:v>0.16736100000000001</c:v>
                </c:pt>
                <c:pt idx="88">
                  <c:v>0.14130599999999999</c:v>
                </c:pt>
                <c:pt idx="89">
                  <c:v>0.118358</c:v>
                </c:pt>
                <c:pt idx="90">
                  <c:v>9.8327300000000006E-2</c:v>
                </c:pt>
                <c:pt idx="91">
                  <c:v>8.1004000000000007E-2</c:v>
                </c:pt>
                <c:pt idx="92">
                  <c:v>6.6161399999999995E-2</c:v>
                </c:pt>
                <c:pt idx="93">
                  <c:v>5.3564899999999999E-2</c:v>
                </c:pt>
                <c:pt idx="94">
                  <c:v>4.2977500000000002E-2</c:v>
                </c:pt>
                <c:pt idx="95">
                  <c:v>3.4166200000000001E-2</c:v>
                </c:pt>
                <c:pt idx="96">
                  <c:v>2.6906200000000002E-2</c:v>
                </c:pt>
                <c:pt idx="97">
                  <c:v>2.0985199999999999E-2</c:v>
                </c:pt>
                <c:pt idx="98">
                  <c:v>1.6206399999999999E-2</c:v>
                </c:pt>
                <c:pt idx="99">
                  <c:v>1.239E-2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26-47D8-A23E-F30198447E71}"/>
            </c:ext>
          </c:extLst>
        </c:ser>
        <c:ser>
          <c:idx val="3"/>
          <c:order val="3"/>
          <c:tx>
            <c:strRef>
              <c:f>P_i!$E$2</c:f>
              <c:strCache>
                <c:ptCount val="1"/>
                <c:pt idx="0">
                  <c:v>Scenario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P_i!$A$3:$A$102</c:f>
              <c:numCache>
                <c:formatCode>0%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P_i!$E$3:$E$102</c:f>
              <c:numCache>
                <c:formatCode>General</c:formatCode>
                <c:ptCount val="100"/>
                <c:pt idx="0">
                  <c:v>0.89050399999999996</c:v>
                </c:pt>
                <c:pt idx="1">
                  <c:v>0.89300999999999997</c:v>
                </c:pt>
                <c:pt idx="2">
                  <c:v>0.89704600000000001</c:v>
                </c:pt>
                <c:pt idx="3">
                  <c:v>0.90252200000000005</c:v>
                </c:pt>
                <c:pt idx="4">
                  <c:v>0.90937000000000001</c:v>
                </c:pt>
                <c:pt idx="5">
                  <c:v>0.91753600000000002</c:v>
                </c:pt>
                <c:pt idx="6">
                  <c:v>0.92697799999999997</c:v>
                </c:pt>
                <c:pt idx="7">
                  <c:v>0.93766799999999995</c:v>
                </c:pt>
                <c:pt idx="8">
                  <c:v>0.94958299999999995</c:v>
                </c:pt>
                <c:pt idx="9">
                  <c:v>0.96270999999999995</c:v>
                </c:pt>
                <c:pt idx="10">
                  <c:v>0.97704000000000002</c:v>
                </c:pt>
                <c:pt idx="11">
                  <c:v>0.99257200000000001</c:v>
                </c:pt>
                <c:pt idx="12">
                  <c:v>1.0093000000000001</c:v>
                </c:pt>
                <c:pt idx="13">
                  <c:v>1.0272399999999999</c:v>
                </c:pt>
                <c:pt idx="14">
                  <c:v>1.0463899999999999</c:v>
                </c:pt>
                <c:pt idx="15">
                  <c:v>1.0667599999999999</c:v>
                </c:pt>
                <c:pt idx="16">
                  <c:v>1.08836</c:v>
                </c:pt>
                <c:pt idx="17">
                  <c:v>1.1111899999999999</c:v>
                </c:pt>
                <c:pt idx="18">
                  <c:v>1.13527</c:v>
                </c:pt>
                <c:pt idx="19">
                  <c:v>1.1606000000000001</c:v>
                </c:pt>
                <c:pt idx="20">
                  <c:v>1.1871799999999999</c:v>
                </c:pt>
                <c:pt idx="21">
                  <c:v>1.2150099999999999</c:v>
                </c:pt>
                <c:pt idx="22">
                  <c:v>1.2441</c:v>
                </c:pt>
                <c:pt idx="23">
                  <c:v>1.27444</c:v>
                </c:pt>
                <c:pt idx="24">
                  <c:v>1.306</c:v>
                </c:pt>
                <c:pt idx="25">
                  <c:v>1.3387800000000001</c:v>
                </c:pt>
                <c:pt idx="26">
                  <c:v>1.3727400000000001</c:v>
                </c:pt>
                <c:pt idx="27">
                  <c:v>1.40784</c:v>
                </c:pt>
                <c:pt idx="28">
                  <c:v>1.4440299999999999</c:v>
                </c:pt>
                <c:pt idx="29">
                  <c:v>1.48125</c:v>
                </c:pt>
                <c:pt idx="30">
                  <c:v>1.5194099999999999</c:v>
                </c:pt>
                <c:pt idx="31">
                  <c:v>1.55843</c:v>
                </c:pt>
                <c:pt idx="32">
                  <c:v>1.5981700000000001</c:v>
                </c:pt>
                <c:pt idx="33">
                  <c:v>1.6384799999999999</c:v>
                </c:pt>
                <c:pt idx="34">
                  <c:v>1.6792100000000001</c:v>
                </c:pt>
                <c:pt idx="35">
                  <c:v>1.7201200000000001</c:v>
                </c:pt>
                <c:pt idx="36">
                  <c:v>1.7609699999999999</c:v>
                </c:pt>
                <c:pt idx="37">
                  <c:v>1.8014699999999999</c:v>
                </c:pt>
                <c:pt idx="38">
                  <c:v>1.8412500000000001</c:v>
                </c:pt>
                <c:pt idx="39">
                  <c:v>1.8798999999999999</c:v>
                </c:pt>
                <c:pt idx="40">
                  <c:v>1.91692</c:v>
                </c:pt>
                <c:pt idx="41">
                  <c:v>1.95174</c:v>
                </c:pt>
                <c:pt idx="42">
                  <c:v>1.98367</c:v>
                </c:pt>
                <c:pt idx="43">
                  <c:v>2.0119600000000002</c:v>
                </c:pt>
                <c:pt idx="44">
                  <c:v>2.03572</c:v>
                </c:pt>
                <c:pt idx="45">
                  <c:v>2.0539800000000001</c:v>
                </c:pt>
                <c:pt idx="46">
                  <c:v>2.06568</c:v>
                </c:pt>
                <c:pt idx="47">
                  <c:v>2.06969</c:v>
                </c:pt>
                <c:pt idx="48">
                  <c:v>2.0649099999999998</c:v>
                </c:pt>
                <c:pt idx="49">
                  <c:v>2.0502600000000002</c:v>
                </c:pt>
                <c:pt idx="50">
                  <c:v>2.02488</c:v>
                </c:pt>
                <c:pt idx="51">
                  <c:v>1.9881200000000001</c:v>
                </c:pt>
                <c:pt idx="52">
                  <c:v>1.9397599999999999</c:v>
                </c:pt>
                <c:pt idx="53">
                  <c:v>1.88002</c:v>
                </c:pt>
                <c:pt idx="54">
                  <c:v>1.80966</c:v>
                </c:pt>
                <c:pt idx="55">
                  <c:v>1.7299599999999999</c:v>
                </c:pt>
                <c:pt idx="56">
                  <c:v>1.6426400000000001</c:v>
                </c:pt>
                <c:pt idx="57">
                  <c:v>1.5497000000000001</c:v>
                </c:pt>
                <c:pt idx="58">
                  <c:v>1.45329</c:v>
                </c:pt>
                <c:pt idx="59">
                  <c:v>1.35545</c:v>
                </c:pt>
                <c:pt idx="60">
                  <c:v>1.2580499999999999</c:v>
                </c:pt>
                <c:pt idx="61">
                  <c:v>1.16259</c:v>
                </c:pt>
                <c:pt idx="62">
                  <c:v>1.0702400000000001</c:v>
                </c:pt>
                <c:pt idx="63">
                  <c:v>0.98177599999999998</c:v>
                </c:pt>
                <c:pt idx="64">
                  <c:v>0.89769500000000002</c:v>
                </c:pt>
                <c:pt idx="65">
                  <c:v>0.81823199999999996</c:v>
                </c:pt>
                <c:pt idx="66">
                  <c:v>0.74344900000000003</c:v>
                </c:pt>
                <c:pt idx="67">
                  <c:v>0.67329300000000003</c:v>
                </c:pt>
                <c:pt idx="68">
                  <c:v>0.60764700000000005</c:v>
                </c:pt>
                <c:pt idx="69">
                  <c:v>0.54636399999999996</c:v>
                </c:pt>
                <c:pt idx="70">
                  <c:v>0.48928899999999997</c:v>
                </c:pt>
                <c:pt idx="71">
                  <c:v>0.436276</c:v>
                </c:pt>
                <c:pt idx="72">
                  <c:v>0.387187</c:v>
                </c:pt>
                <c:pt idx="73">
                  <c:v>0.34189599999999998</c:v>
                </c:pt>
                <c:pt idx="74">
                  <c:v>0.30028300000000002</c:v>
                </c:pt>
                <c:pt idx="75">
                  <c:v>0.26223099999999999</c:v>
                </c:pt>
                <c:pt idx="76">
                  <c:v>0.22761899999999999</c:v>
                </c:pt>
                <c:pt idx="77">
                  <c:v>0.19631899999999999</c:v>
                </c:pt>
                <c:pt idx="78">
                  <c:v>0.16819300000000001</c:v>
                </c:pt>
                <c:pt idx="79">
                  <c:v>0.143092</c:v>
                </c:pt>
                <c:pt idx="80">
                  <c:v>0.120852</c:v>
                </c:pt>
                <c:pt idx="81">
                  <c:v>0.101297</c:v>
                </c:pt>
                <c:pt idx="82">
                  <c:v>8.4240899999999994E-2</c:v>
                </c:pt>
                <c:pt idx="83">
                  <c:v>6.9487800000000002E-2</c:v>
                </c:pt>
                <c:pt idx="84">
                  <c:v>5.6837699999999998E-2</c:v>
                </c:pt>
                <c:pt idx="85">
                  <c:v>4.60881E-2</c:v>
                </c:pt>
                <c:pt idx="86">
                  <c:v>3.70382E-2</c:v>
                </c:pt>
                <c:pt idx="87">
                  <c:v>2.9492000000000001E-2</c:v>
                </c:pt>
                <c:pt idx="88">
                  <c:v>2.32616E-2</c:v>
                </c:pt>
                <c:pt idx="89">
                  <c:v>1.8169299999999999E-2</c:v>
                </c:pt>
                <c:pt idx="90">
                  <c:v>1.40505E-2</c:v>
                </c:pt>
                <c:pt idx="91">
                  <c:v>1.07543E-2</c:v>
                </c:pt>
                <c:pt idx="92">
                  <c:v>8.1451400000000004E-3</c:v>
                </c:pt>
                <c:pt idx="93">
                  <c:v>6.1027499999999997E-3</c:v>
                </c:pt>
                <c:pt idx="94">
                  <c:v>4.5221899999999997E-3</c:v>
                </c:pt>
                <c:pt idx="95">
                  <c:v>3.3132399999999998E-3</c:v>
                </c:pt>
                <c:pt idx="96">
                  <c:v>2.39952E-3</c:v>
                </c:pt>
                <c:pt idx="97">
                  <c:v>1.71729E-3</c:v>
                </c:pt>
                <c:pt idx="98">
                  <c:v>1.2142100000000001E-3</c:v>
                </c:pt>
                <c:pt idx="99">
                  <c:v>8.4793100000000001E-4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26-47D8-A23E-F30198447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512127"/>
        <c:axId val="1945513087"/>
      </c:scatterChart>
      <c:valAx>
        <c:axId val="194551212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5513087"/>
        <c:crosses val="autoZero"/>
        <c:crossBetween val="midCat"/>
      </c:valAx>
      <c:valAx>
        <c:axId val="194551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551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777240</xdr:colOff>
      <xdr:row>22</xdr:row>
      <xdr:rowOff>15240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AE48AAB-3598-46C7-9A57-8598C351B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790574</xdr:colOff>
      <xdr:row>2</xdr:row>
      <xdr:rowOff>0</xdr:rowOff>
    </xdr:from>
    <xdr:to>
      <xdr:col>15</xdr:col>
      <xdr:colOff>790574</xdr:colOff>
      <xdr:row>22</xdr:row>
      <xdr:rowOff>9525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583A744-777F-4A04-AE14-A6669F81E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10</xdr:col>
      <xdr:colOff>284513</xdr:colOff>
      <xdr:row>55</xdr:row>
      <xdr:rowOff>21771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29720A6-908C-4414-B771-36D0DA1DD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20</xdr:col>
      <xdr:colOff>281049</xdr:colOff>
      <xdr:row>54</xdr:row>
      <xdr:rowOff>165264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170DBAD-93DA-4B46-9DA2-BA183012A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457200</xdr:colOff>
      <xdr:row>25</xdr:row>
      <xdr:rowOff>109846</xdr:rowOff>
    </xdr:from>
    <xdr:to>
      <xdr:col>19</xdr:col>
      <xdr:colOff>782780</xdr:colOff>
      <xdr:row>51</xdr:row>
      <xdr:rowOff>13854</xdr:rowOff>
    </xdr:to>
    <xdr:sp macro="" textlink="">
      <xdr:nvSpPr>
        <xdr:cNvPr id="7" name="Forme libre : forme 6">
          <a:extLst>
            <a:ext uri="{FF2B5EF4-FFF2-40B4-BE49-F238E27FC236}">
              <a16:creationId xmlns:a16="http://schemas.microsoft.com/office/drawing/2014/main" id="{D5FA9A55-027C-4CF9-A036-E3AF0B2DF9AC}"/>
            </a:ext>
          </a:extLst>
        </xdr:cNvPr>
        <xdr:cNvSpPr/>
      </xdr:nvSpPr>
      <xdr:spPr>
        <a:xfrm>
          <a:off x="9198429" y="4736275"/>
          <a:ext cx="6682837" cy="4715493"/>
        </a:xfrm>
        <a:custGeom>
          <a:avLst/>
          <a:gdLst>
            <a:gd name="csX0" fmla="*/ 0 w 4527176"/>
            <a:gd name="csY0" fmla="*/ 0 h 2532530"/>
            <a:gd name="csX1" fmla="*/ 112058 w 4527176"/>
            <a:gd name="csY1" fmla="*/ 1703295 h 2532530"/>
            <a:gd name="csX2" fmla="*/ 549088 w 4527176"/>
            <a:gd name="csY2" fmla="*/ 2252383 h 2532530"/>
            <a:gd name="csX3" fmla="*/ 1893794 w 4527176"/>
            <a:gd name="csY3" fmla="*/ 2420471 h 2532530"/>
            <a:gd name="csX4" fmla="*/ 4527176 w 4527176"/>
            <a:gd name="csY4" fmla="*/ 2532530 h 253253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527176" h="2532530">
              <a:moveTo>
                <a:pt x="0" y="0"/>
              </a:moveTo>
              <a:cubicBezTo>
                <a:pt x="10271" y="663949"/>
                <a:pt x="20543" y="1327898"/>
                <a:pt x="112058" y="1703295"/>
              </a:cubicBezTo>
              <a:cubicBezTo>
                <a:pt x="203573" y="2078692"/>
                <a:pt x="252132" y="2132854"/>
                <a:pt x="549088" y="2252383"/>
              </a:cubicBezTo>
              <a:cubicBezTo>
                <a:pt x="846044" y="2371912"/>
                <a:pt x="1230779" y="2373780"/>
                <a:pt x="1893794" y="2420471"/>
              </a:cubicBezTo>
              <a:cubicBezTo>
                <a:pt x="2556809" y="2467162"/>
                <a:pt x="4069603" y="2506383"/>
                <a:pt x="4527176" y="2532530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fr-BE" kern="12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0.13113</cdr:x>
      <cdr:y>0.13366</cdr:y>
    </cdr:from>
    <cdr:to>
      <cdr:x>0.95219</cdr:x>
      <cdr:y>0.83618</cdr:y>
    </cdr:to>
    <cdr:sp macro="" textlink="">
      <cdr:nvSpPr>
        <cdr:cNvPr id="8" name="Forme libre : forme 7">
          <a:extLst xmlns:a="http://schemas.openxmlformats.org/drawingml/2006/main">
            <a:ext uri="{FF2B5EF4-FFF2-40B4-BE49-F238E27FC236}">
              <a16:creationId xmlns:a16="http://schemas.microsoft.com/office/drawing/2014/main" id="{AD14B84D-E2BB-1515-8B52-CF9F93635067}"/>
            </a:ext>
          </a:extLst>
        </cdr:cNvPr>
        <cdr:cNvSpPr/>
      </cdr:nvSpPr>
      <cdr:spPr>
        <a:xfrm xmlns:a="http://schemas.openxmlformats.org/drawingml/2006/main">
          <a:off x="728382" y="481853"/>
          <a:ext cx="4560794" cy="2532530"/>
        </a:xfrm>
        <a:custGeom xmlns:a="http://schemas.openxmlformats.org/drawingml/2006/main">
          <a:avLst/>
          <a:gdLst>
            <a:gd name="csX0" fmla="*/ 0 w 4527176"/>
            <a:gd name="csY0" fmla="*/ 0 h 2532530"/>
            <a:gd name="csX1" fmla="*/ 112058 w 4527176"/>
            <a:gd name="csY1" fmla="*/ 1703295 h 2532530"/>
            <a:gd name="csX2" fmla="*/ 549088 w 4527176"/>
            <a:gd name="csY2" fmla="*/ 2252383 h 2532530"/>
            <a:gd name="csX3" fmla="*/ 1893794 w 4527176"/>
            <a:gd name="csY3" fmla="*/ 2420471 h 2532530"/>
            <a:gd name="csX4" fmla="*/ 4527176 w 4527176"/>
            <a:gd name="csY4" fmla="*/ 2532530 h 253253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527176" h="2532530">
              <a:moveTo>
                <a:pt x="0" y="0"/>
              </a:moveTo>
              <a:cubicBezTo>
                <a:pt x="10271" y="663949"/>
                <a:pt x="20543" y="1327898"/>
                <a:pt x="112058" y="1703295"/>
              </a:cubicBezTo>
              <a:cubicBezTo>
                <a:pt x="203573" y="2078692"/>
                <a:pt x="252132" y="2132854"/>
                <a:pt x="549088" y="2252383"/>
              </a:cubicBezTo>
              <a:cubicBezTo>
                <a:pt x="846044" y="2371912"/>
                <a:pt x="1230779" y="2373780"/>
                <a:pt x="1893794" y="2420471"/>
              </a:cubicBezTo>
              <a:cubicBezTo>
                <a:pt x="2556809" y="2467162"/>
                <a:pt x="4069603" y="2506383"/>
                <a:pt x="4527176" y="2532530"/>
              </a:cubicBezTo>
            </a:path>
          </a:pathLst>
        </a:custGeom>
        <a:noFill xmlns:a="http://schemas.openxmlformats.org/drawingml/2006/main"/>
        <a:ln xmlns:a="http://schemas.openxmlformats.org/drawingml/2006/main"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BE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0.55831</cdr:x>
      <cdr:y>0.12424</cdr:y>
    </cdr:from>
    <cdr:to>
      <cdr:x>0.56233</cdr:x>
      <cdr:y>0.74821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3C8851ED-9C17-DE86-6D2D-34CE1D70C6BB}"/>
            </a:ext>
          </a:extLst>
        </cdr:cNvPr>
        <cdr:cNvCxnSpPr/>
      </cdr:nvCxnSpPr>
      <cdr:spPr>
        <a:xfrm xmlns:a="http://schemas.openxmlformats.org/drawingml/2006/main" flipH="1" flipV="1">
          <a:off x="3109406" y="446930"/>
          <a:ext cx="22389" cy="2244616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0.50079</cdr:x>
      <cdr:y>0.12516</cdr:y>
    </cdr:from>
    <cdr:to>
      <cdr:x>0.5048</cdr:x>
      <cdr:y>0.74913</cdr:y>
    </cdr:to>
    <cdr:cxnSp macro="">
      <cdr:nvCxnSpPr>
        <cdr:cNvPr id="4" name="Connecteur droit 3">
          <a:extLst xmlns:a="http://schemas.openxmlformats.org/drawingml/2006/main">
            <a:ext uri="{FF2B5EF4-FFF2-40B4-BE49-F238E27FC236}">
              <a16:creationId xmlns:a16="http://schemas.microsoft.com/office/drawing/2014/main" id="{C2ED6132-2D13-71C6-B127-C55010B353CE}"/>
            </a:ext>
          </a:extLst>
        </cdr:cNvPr>
        <cdr:cNvCxnSpPr/>
      </cdr:nvCxnSpPr>
      <cdr:spPr>
        <a:xfrm xmlns:a="http://schemas.openxmlformats.org/drawingml/2006/main" flipH="1" flipV="1">
          <a:off x="2789074" y="450240"/>
          <a:ext cx="22333" cy="224461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0.56044</cdr:x>
      <cdr:y>0.56557</cdr:y>
    </cdr:from>
    <cdr:to>
      <cdr:x>0.67289</cdr:x>
      <cdr:y>0.65391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DAD49378-BBE6-578A-54C1-FDA76E191715}"/>
            </a:ext>
          </a:extLst>
        </cdr:cNvPr>
        <cdr:cNvSpPr/>
      </cdr:nvSpPr>
      <cdr:spPr>
        <a:xfrm xmlns:a="http://schemas.openxmlformats.org/drawingml/2006/main">
          <a:off x="3121269" y="2034540"/>
          <a:ext cx="626270" cy="317787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fr-BE" kern="1200"/>
            <a:t>53%</a:t>
          </a:r>
        </a:p>
      </cdr:txBody>
    </cdr:sp>
  </cdr:relSizeAnchor>
  <cdr:relSizeAnchor xmlns:cdr="http://schemas.openxmlformats.org/drawingml/2006/chartDrawing">
    <cdr:from>
      <cdr:x>0.39225</cdr:x>
      <cdr:y>0.5664</cdr:y>
    </cdr:from>
    <cdr:to>
      <cdr:x>0.5047</cdr:x>
      <cdr:y>0.65475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CA1AAF9A-6DE9-DC5F-01CF-E29FBA7DA047}"/>
            </a:ext>
          </a:extLst>
        </cdr:cNvPr>
        <cdr:cNvSpPr/>
      </cdr:nvSpPr>
      <cdr:spPr>
        <a:xfrm xmlns:a="http://schemas.openxmlformats.org/drawingml/2006/main">
          <a:off x="2184558" y="2037532"/>
          <a:ext cx="626271" cy="317822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BE" kern="1200"/>
            <a:t>46%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1BE6-A878-4CC5-AC30-5E3C32621A67}">
  <dimension ref="A1"/>
  <sheetViews>
    <sheetView tabSelected="1" topLeftCell="A21" zoomScale="80" zoomScaleNormal="80" workbookViewId="0">
      <selection activeCell="AC23" sqref="AC23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63A6-8257-47ED-BED3-47A689695537}">
  <dimension ref="A1:X38"/>
  <sheetViews>
    <sheetView zoomScale="70" zoomScaleNormal="70" workbookViewId="0">
      <selection activeCell="N21" sqref="N21"/>
    </sheetView>
  </sheetViews>
  <sheetFormatPr baseColWidth="10" defaultRowHeight="14.4" x14ac:dyDescent="0.3"/>
  <cols>
    <col min="2" max="2" width="16" bestFit="1" customWidth="1"/>
    <col min="7" max="7" width="4.88671875" customWidth="1"/>
    <col min="8" max="11" width="10.44140625" bestFit="1" customWidth="1"/>
    <col min="12" max="12" width="4.109375" customWidth="1"/>
    <col min="13" max="13" width="18.77734375" bestFit="1" customWidth="1"/>
    <col min="14" max="14" width="17.6640625" bestFit="1" customWidth="1"/>
    <col min="16" max="16" width="16" bestFit="1" customWidth="1"/>
    <col min="17" max="17" width="4.44140625" customWidth="1"/>
    <col min="18" max="20" width="17.6640625" bestFit="1" customWidth="1"/>
    <col min="21" max="21" width="13.44140625" customWidth="1"/>
    <col min="22" max="22" width="17.44140625" customWidth="1"/>
    <col min="24" max="24" width="11.5546875" style="1"/>
  </cols>
  <sheetData>
    <row r="1" spans="1:24" x14ac:dyDescent="0.3">
      <c r="H1" s="29" t="s">
        <v>17</v>
      </c>
      <c r="I1" s="29"/>
      <c r="J1" s="29"/>
      <c r="K1" s="29"/>
      <c r="M1" s="29" t="s">
        <v>44</v>
      </c>
      <c r="N1" s="29"/>
      <c r="O1" s="29"/>
      <c r="P1" s="29"/>
      <c r="Q1" s="21"/>
      <c r="S1" s="29" t="s">
        <v>35</v>
      </c>
      <c r="T1" s="29"/>
      <c r="U1" s="29"/>
      <c r="V1" s="29"/>
    </row>
    <row r="2" spans="1:24" x14ac:dyDescent="0.3">
      <c r="B2" s="2" t="s">
        <v>12</v>
      </c>
      <c r="C2" s="2" t="s">
        <v>27</v>
      </c>
      <c r="D2" s="2" t="s">
        <v>28</v>
      </c>
      <c r="E2" s="2" t="s">
        <v>29</v>
      </c>
      <c r="F2" s="2" t="s">
        <v>30</v>
      </c>
      <c r="H2" s="2" t="s">
        <v>0</v>
      </c>
      <c r="I2" s="2" t="s">
        <v>1</v>
      </c>
      <c r="J2" s="2" t="s">
        <v>2</v>
      </c>
      <c r="K2" s="2" t="s">
        <v>3</v>
      </c>
      <c r="M2" s="2" t="s">
        <v>33</v>
      </c>
      <c r="N2" s="2" t="s">
        <v>34</v>
      </c>
      <c r="O2" s="2" t="s">
        <v>31</v>
      </c>
      <c r="P2" s="2" t="s">
        <v>32</v>
      </c>
      <c r="Q2" s="1"/>
      <c r="R2" s="1" t="s">
        <v>43</v>
      </c>
      <c r="S2" s="2" t="s">
        <v>36</v>
      </c>
      <c r="T2" s="2" t="s">
        <v>37</v>
      </c>
      <c r="U2" s="2" t="s">
        <v>38</v>
      </c>
      <c r="V2" s="2" t="s">
        <v>39</v>
      </c>
    </row>
    <row r="3" spans="1:24" x14ac:dyDescent="0.3">
      <c r="A3" s="1"/>
      <c r="B3" s="2">
        <v>1</v>
      </c>
      <c r="C3" s="2">
        <v>5</v>
      </c>
      <c r="D3" s="2">
        <v>10</v>
      </c>
      <c r="E3" s="2">
        <v>5</v>
      </c>
      <c r="F3" s="2">
        <v>5</v>
      </c>
      <c r="H3" s="2">
        <f t="shared" ref="H3:K6" si="0">M3-C3</f>
        <v>6</v>
      </c>
      <c r="I3" s="2">
        <f t="shared" si="0"/>
        <v>3</v>
      </c>
      <c r="J3" s="2">
        <f t="shared" si="0"/>
        <v>0</v>
      </c>
      <c r="K3" s="2">
        <f t="shared" si="0"/>
        <v>5</v>
      </c>
      <c r="M3" s="2">
        <v>11</v>
      </c>
      <c r="N3" s="2">
        <v>13</v>
      </c>
      <c r="O3" s="2">
        <v>5</v>
      </c>
      <c r="P3" s="2">
        <v>10</v>
      </c>
      <c r="Q3" s="1"/>
      <c r="R3" s="2">
        <v>1</v>
      </c>
      <c r="S3" s="2">
        <v>14</v>
      </c>
      <c r="T3" s="2">
        <v>11</v>
      </c>
      <c r="U3" s="2">
        <v>11</v>
      </c>
      <c r="V3" s="2">
        <v>5</v>
      </c>
      <c r="W3" s="1"/>
      <c r="X3" s="1" t="s">
        <v>45</v>
      </c>
    </row>
    <row r="4" spans="1:24" x14ac:dyDescent="0.3">
      <c r="A4" s="1"/>
      <c r="B4" s="2">
        <v>2</v>
      </c>
      <c r="C4" s="2">
        <v>10</v>
      </c>
      <c r="D4" s="2">
        <v>15</v>
      </c>
      <c r="E4" s="2">
        <v>15</v>
      </c>
      <c r="F4" s="2">
        <v>30</v>
      </c>
      <c r="H4" s="2">
        <f t="shared" si="0"/>
        <v>0</v>
      </c>
      <c r="I4" s="2">
        <f t="shared" si="0"/>
        <v>16</v>
      </c>
      <c r="J4" s="2">
        <f t="shared" si="0"/>
        <v>5</v>
      </c>
      <c r="K4" s="2">
        <f t="shared" si="0"/>
        <v>10</v>
      </c>
      <c r="M4" s="2">
        <v>10</v>
      </c>
      <c r="N4" s="2">
        <v>31</v>
      </c>
      <c r="O4" s="2">
        <v>20</v>
      </c>
      <c r="P4" s="2">
        <v>40</v>
      </c>
      <c r="Q4" s="1"/>
      <c r="R4" s="2">
        <v>2</v>
      </c>
      <c r="S4" s="2">
        <v>12</v>
      </c>
      <c r="T4" s="2">
        <v>27</v>
      </c>
      <c r="U4" s="2">
        <v>15</v>
      </c>
      <c r="V4" s="2">
        <v>30</v>
      </c>
      <c r="X4" s="1" t="s">
        <v>45</v>
      </c>
    </row>
    <row r="5" spans="1:24" x14ac:dyDescent="0.3">
      <c r="A5" s="1"/>
      <c r="B5" s="2">
        <v>3</v>
      </c>
      <c r="C5" s="2">
        <v>5</v>
      </c>
      <c r="D5" s="2">
        <v>5</v>
      </c>
      <c r="E5" s="2">
        <v>5</v>
      </c>
      <c r="F5" s="2">
        <v>20</v>
      </c>
      <c r="H5" s="2">
        <f t="shared" si="0"/>
        <v>6</v>
      </c>
      <c r="I5" s="2">
        <f t="shared" si="0"/>
        <v>22</v>
      </c>
      <c r="J5" s="2">
        <f t="shared" si="0"/>
        <v>5</v>
      </c>
      <c r="K5" s="2">
        <f t="shared" si="0"/>
        <v>10</v>
      </c>
      <c r="M5" s="2">
        <v>11</v>
      </c>
      <c r="N5" s="2">
        <v>27</v>
      </c>
      <c r="O5" s="2">
        <v>10</v>
      </c>
      <c r="P5" s="2">
        <v>30</v>
      </c>
      <c r="Q5" s="1"/>
      <c r="R5" s="2">
        <v>3</v>
      </c>
      <c r="S5" s="2">
        <v>13</v>
      </c>
      <c r="T5" s="2">
        <v>21</v>
      </c>
      <c r="U5" s="2">
        <v>14</v>
      </c>
      <c r="V5" s="2">
        <v>20</v>
      </c>
      <c r="X5" s="1" t="s">
        <v>45</v>
      </c>
    </row>
    <row r="6" spans="1:24" x14ac:dyDescent="0.3">
      <c r="A6" s="1"/>
      <c r="B6" s="2">
        <v>4</v>
      </c>
      <c r="C6" s="2">
        <v>10</v>
      </c>
      <c r="D6" s="2">
        <v>5</v>
      </c>
      <c r="E6" s="2">
        <v>15</v>
      </c>
      <c r="F6" s="2">
        <v>5</v>
      </c>
      <c r="H6" s="2">
        <f t="shared" si="0"/>
        <v>6</v>
      </c>
      <c r="I6" s="2">
        <f t="shared" si="0"/>
        <v>8</v>
      </c>
      <c r="J6" s="2">
        <f t="shared" si="0"/>
        <v>5</v>
      </c>
      <c r="K6" s="2">
        <f t="shared" si="0"/>
        <v>5</v>
      </c>
      <c r="M6" s="2">
        <v>16</v>
      </c>
      <c r="N6" s="2">
        <v>13</v>
      </c>
      <c r="O6" s="2">
        <v>20</v>
      </c>
      <c r="P6" s="2">
        <v>10</v>
      </c>
      <c r="Q6" s="1"/>
      <c r="R6" s="2">
        <v>4</v>
      </c>
      <c r="S6" s="2">
        <v>15</v>
      </c>
      <c r="T6" s="2">
        <v>10</v>
      </c>
      <c r="U6" s="2">
        <v>15</v>
      </c>
      <c r="V6" s="2">
        <v>6</v>
      </c>
      <c r="X6" s="1" t="s">
        <v>45</v>
      </c>
    </row>
    <row r="8" spans="1:24" x14ac:dyDescent="0.3">
      <c r="B8" s="2"/>
      <c r="C8" s="2" t="s">
        <v>14</v>
      </c>
      <c r="S8" s="1"/>
      <c r="T8" s="1"/>
      <c r="U8" s="1"/>
      <c r="V8" s="1"/>
    </row>
    <row r="9" spans="1:24" x14ac:dyDescent="0.3">
      <c r="B9" s="2" t="s">
        <v>13</v>
      </c>
      <c r="C9" s="2">
        <v>1</v>
      </c>
      <c r="R9" s="1"/>
      <c r="S9" s="1"/>
      <c r="T9" s="1"/>
      <c r="U9" s="1"/>
      <c r="V9" s="1"/>
    </row>
    <row r="10" spans="1:24" x14ac:dyDescent="0.3">
      <c r="B10" s="2" t="s">
        <v>4</v>
      </c>
      <c r="C10" s="2">
        <v>1</v>
      </c>
      <c r="P10" s="1"/>
      <c r="Q10" s="1"/>
      <c r="R10" s="1"/>
      <c r="S10" s="1"/>
      <c r="T10" s="1"/>
      <c r="U10" s="1"/>
      <c r="V10" s="1"/>
    </row>
    <row r="11" spans="1:24" x14ac:dyDescent="0.3">
      <c r="B11" s="2" t="s">
        <v>5</v>
      </c>
      <c r="C11" s="2">
        <v>0.5</v>
      </c>
      <c r="P11" s="1"/>
      <c r="Q11" s="1"/>
      <c r="R11" s="1"/>
      <c r="S11" s="1"/>
      <c r="T11" s="1"/>
      <c r="U11" s="1"/>
      <c r="V11" s="1"/>
    </row>
    <row r="12" spans="1:24" x14ac:dyDescent="0.3">
      <c r="B12" s="2" t="s">
        <v>6</v>
      </c>
      <c r="C12" s="2">
        <v>0.5</v>
      </c>
      <c r="P12" s="1"/>
      <c r="Q12" s="1"/>
      <c r="R12" s="1"/>
      <c r="S12" s="1"/>
      <c r="T12" s="1"/>
      <c r="U12" s="1"/>
      <c r="V12" s="1"/>
    </row>
    <row r="13" spans="1:24" x14ac:dyDescent="0.3">
      <c r="B13" s="2" t="s">
        <v>7</v>
      </c>
      <c r="C13" s="2">
        <v>1</v>
      </c>
      <c r="P13" s="1"/>
      <c r="Q13" s="1"/>
      <c r="R13" s="1"/>
      <c r="S13" s="1"/>
      <c r="T13" s="1"/>
      <c r="U13" s="1"/>
      <c r="V13" s="1"/>
    </row>
    <row r="14" spans="1:24" x14ac:dyDescent="0.3">
      <c r="B14" s="2" t="s">
        <v>8</v>
      </c>
      <c r="C14" s="2">
        <v>1</v>
      </c>
      <c r="P14" s="1"/>
      <c r="Q14" s="1"/>
      <c r="R14" s="1"/>
      <c r="S14" s="1"/>
      <c r="T14" s="1"/>
      <c r="U14" s="1"/>
      <c r="V14" s="1"/>
    </row>
    <row r="15" spans="1:24" x14ac:dyDescent="0.3">
      <c r="B15" s="2" t="s">
        <v>9</v>
      </c>
      <c r="C15" s="2">
        <v>200</v>
      </c>
      <c r="P15" s="1"/>
      <c r="Q15" s="1"/>
      <c r="R15" s="1"/>
      <c r="S15" s="1"/>
      <c r="T15" s="1"/>
      <c r="U15" s="1"/>
      <c r="V15" s="1"/>
    </row>
    <row r="16" spans="1:24" x14ac:dyDescent="0.3">
      <c r="B16" s="2" t="s">
        <v>10</v>
      </c>
      <c r="C16" s="2">
        <v>0.5</v>
      </c>
      <c r="P16" s="1"/>
      <c r="Q16" s="1"/>
      <c r="R16" s="1"/>
      <c r="S16" s="1"/>
      <c r="T16" s="1"/>
      <c r="U16" s="1"/>
      <c r="V16" s="1"/>
    </row>
    <row r="17" spans="2:22" x14ac:dyDescent="0.3">
      <c r="B17" s="2" t="s">
        <v>11</v>
      </c>
      <c r="C17" s="2">
        <v>0.65</v>
      </c>
    </row>
    <row r="20" spans="2:22" x14ac:dyDescent="0.3">
      <c r="R20" s="1"/>
      <c r="S20" s="1"/>
      <c r="T20" s="1"/>
      <c r="U20" s="1"/>
      <c r="V20" s="1"/>
    </row>
    <row r="21" spans="2:22" x14ac:dyDescent="0.3">
      <c r="R21" s="1"/>
      <c r="S21" s="1"/>
      <c r="T21" s="1"/>
      <c r="U21" s="1"/>
      <c r="V21" s="1"/>
    </row>
    <row r="22" spans="2:22" x14ac:dyDescent="0.3">
      <c r="R22" s="1"/>
      <c r="S22" s="1"/>
      <c r="T22" s="1"/>
      <c r="U22" s="1"/>
      <c r="V22" s="1"/>
    </row>
    <row r="23" spans="2:22" x14ac:dyDescent="0.3">
      <c r="R23" s="1"/>
      <c r="S23" s="1"/>
      <c r="T23" s="1"/>
      <c r="U23" s="1"/>
      <c r="V23" s="1"/>
    </row>
    <row r="24" spans="2:22" x14ac:dyDescent="0.3">
      <c r="R24" s="1"/>
      <c r="S24" s="1"/>
      <c r="T24" s="1"/>
      <c r="U24" s="1"/>
      <c r="V24" s="1"/>
    </row>
    <row r="26" spans="2:22" x14ac:dyDescent="0.3">
      <c r="S26" s="30"/>
      <c r="T26" s="30"/>
      <c r="U26" s="30"/>
      <c r="V26" s="30"/>
    </row>
    <row r="27" spans="2:22" x14ac:dyDescent="0.3">
      <c r="S27" s="1"/>
      <c r="T27" s="1"/>
      <c r="U27" s="1"/>
      <c r="V27" s="1"/>
    </row>
    <row r="28" spans="2:22" x14ac:dyDescent="0.3">
      <c r="R28" s="1"/>
      <c r="S28" s="1"/>
      <c r="T28" s="1"/>
      <c r="U28" s="1"/>
      <c r="V28" s="1"/>
    </row>
    <row r="29" spans="2:22" x14ac:dyDescent="0.3">
      <c r="R29" s="1"/>
      <c r="S29" s="1"/>
      <c r="T29" s="1"/>
      <c r="U29" s="1"/>
      <c r="V29" s="1"/>
    </row>
    <row r="30" spans="2:22" x14ac:dyDescent="0.3">
      <c r="R30" s="1"/>
      <c r="S30" s="1"/>
      <c r="T30" s="1"/>
      <c r="U30" s="1"/>
      <c r="V30" s="1"/>
    </row>
    <row r="31" spans="2:22" x14ac:dyDescent="0.3">
      <c r="R31" s="1"/>
      <c r="S31" s="1"/>
      <c r="T31" s="1"/>
      <c r="U31" s="1"/>
      <c r="V31" s="1"/>
    </row>
    <row r="33" spans="18:22" x14ac:dyDescent="0.3">
      <c r="S33" s="30"/>
      <c r="T33" s="30"/>
      <c r="U33" s="30"/>
      <c r="V33" s="30"/>
    </row>
    <row r="34" spans="18:22" x14ac:dyDescent="0.3">
      <c r="S34" s="1"/>
      <c r="T34" s="1"/>
      <c r="U34" s="1"/>
      <c r="V34" s="1"/>
    </row>
    <row r="35" spans="18:22" x14ac:dyDescent="0.3">
      <c r="R35" s="1"/>
      <c r="S35" s="1"/>
      <c r="T35" s="1"/>
      <c r="U35" s="1"/>
      <c r="V35" s="1"/>
    </row>
    <row r="36" spans="18:22" x14ac:dyDescent="0.3">
      <c r="R36" s="1"/>
      <c r="S36" s="1"/>
      <c r="T36" s="1"/>
      <c r="U36" s="1"/>
      <c r="V36" s="1"/>
    </row>
    <row r="37" spans="18:22" x14ac:dyDescent="0.3">
      <c r="R37" s="1"/>
      <c r="S37" s="1"/>
      <c r="T37" s="1"/>
      <c r="U37" s="1"/>
      <c r="V37" s="1"/>
    </row>
    <row r="38" spans="18:22" x14ac:dyDescent="0.3">
      <c r="R38" s="1"/>
      <c r="S38" s="1"/>
      <c r="T38" s="1"/>
      <c r="U38" s="1"/>
      <c r="V38" s="1"/>
    </row>
  </sheetData>
  <mergeCells count="5">
    <mergeCell ref="M1:P1"/>
    <mergeCell ref="H1:K1"/>
    <mergeCell ref="S1:V1"/>
    <mergeCell ref="S26:V26"/>
    <mergeCell ref="S33:V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3585-1CBB-498E-A254-5F006FC36F96}">
  <dimension ref="A1:O106"/>
  <sheetViews>
    <sheetView zoomScale="55" zoomScaleNormal="55" workbookViewId="0"/>
  </sheetViews>
  <sheetFormatPr baseColWidth="10" defaultRowHeight="14.4" x14ac:dyDescent="0.3"/>
  <cols>
    <col min="2" max="3" width="21" style="1" bestFit="1" customWidth="1"/>
    <col min="4" max="7" width="21" bestFit="1" customWidth="1"/>
    <col min="8" max="9" width="22.109375" bestFit="1" customWidth="1"/>
    <col min="10" max="11" width="23.44140625" customWidth="1"/>
    <col min="12" max="15" width="22.109375" style="1" bestFit="1" customWidth="1"/>
  </cols>
  <sheetData>
    <row r="1" spans="1:11" x14ac:dyDescent="0.3">
      <c r="B1" s="1" t="s">
        <v>15</v>
      </c>
      <c r="C1" s="1" t="s">
        <v>15</v>
      </c>
      <c r="D1" s="1" t="s">
        <v>15</v>
      </c>
      <c r="E1" s="1" t="s">
        <v>15</v>
      </c>
      <c r="F1" s="1" t="s">
        <v>15</v>
      </c>
      <c r="G1" s="1" t="s">
        <v>15</v>
      </c>
      <c r="H1" s="1" t="s">
        <v>15</v>
      </c>
      <c r="I1" s="1"/>
      <c r="J1" s="1"/>
      <c r="K1" s="1"/>
    </row>
    <row r="2" spans="1:11" x14ac:dyDescent="0.3"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40</v>
      </c>
      <c r="I2" s="1"/>
      <c r="J2" s="1"/>
      <c r="K2" s="1"/>
    </row>
    <row r="3" spans="1:11" x14ac:dyDescent="0.3">
      <c r="A3" s="7">
        <v>0.01</v>
      </c>
      <c r="B3" s="1">
        <v>195.00899999999999</v>
      </c>
      <c r="C3" s="1">
        <v>187.51</v>
      </c>
      <c r="D3" s="1">
        <v>187.51</v>
      </c>
      <c r="E3" s="1">
        <v>192.51</v>
      </c>
      <c r="F3" s="1">
        <v>200.01</v>
      </c>
      <c r="G3" s="1">
        <v>200.00899999999999</v>
      </c>
      <c r="H3" s="1">
        <v>200.01</v>
      </c>
      <c r="I3" s="8">
        <v>0.01</v>
      </c>
      <c r="K3" s="1"/>
    </row>
    <row r="4" spans="1:11" x14ac:dyDescent="0.3">
      <c r="A4" s="7">
        <v>0.02</v>
      </c>
      <c r="B4" s="1">
        <v>195.036</v>
      </c>
      <c r="C4" s="1">
        <v>187.53800000000001</v>
      </c>
      <c r="D4" s="1">
        <v>187.53700000000001</v>
      </c>
      <c r="E4" s="1">
        <v>192.53800000000001</v>
      </c>
      <c r="F4" s="1">
        <v>200.036</v>
      </c>
      <c r="G4" s="1">
        <v>200.036</v>
      </c>
      <c r="H4" s="1">
        <v>200.03700000000001</v>
      </c>
      <c r="I4" s="8">
        <v>0.02</v>
      </c>
      <c r="K4" s="1"/>
    </row>
    <row r="5" spans="1:11" x14ac:dyDescent="0.3">
      <c r="A5" s="7">
        <v>0.03</v>
      </c>
      <c r="B5" s="1">
        <v>195.077</v>
      </c>
      <c r="C5" s="1">
        <v>187.58500000000001</v>
      </c>
      <c r="D5" s="1">
        <v>187.58099999999999</v>
      </c>
      <c r="E5" s="1">
        <v>192.583</v>
      </c>
      <c r="F5" s="1">
        <v>200.078</v>
      </c>
      <c r="G5" s="1">
        <v>200.077</v>
      </c>
      <c r="H5" s="1">
        <v>200.08099999999999</v>
      </c>
      <c r="I5" s="8">
        <v>0.03</v>
      </c>
      <c r="K5" s="1"/>
    </row>
    <row r="6" spans="1:11" x14ac:dyDescent="0.3">
      <c r="A6" s="7">
        <v>0.04</v>
      </c>
      <c r="B6" s="1">
        <v>195.12899999999999</v>
      </c>
      <c r="C6" s="1">
        <v>187.649</v>
      </c>
      <c r="D6" s="1">
        <v>187.64</v>
      </c>
      <c r="E6" s="1">
        <v>192.64400000000001</v>
      </c>
      <c r="F6" s="1">
        <v>200.13300000000001</v>
      </c>
      <c r="G6" s="1">
        <v>200.131</v>
      </c>
      <c r="H6" s="1">
        <v>200.14</v>
      </c>
      <c r="I6" s="8">
        <v>0.04</v>
      </c>
      <c r="K6" s="1"/>
    </row>
    <row r="7" spans="1:11" x14ac:dyDescent="0.3">
      <c r="A7" s="7">
        <v>0.05</v>
      </c>
      <c r="B7" s="1">
        <v>195.19300000000001</v>
      </c>
      <c r="C7" s="1">
        <v>187.72800000000001</v>
      </c>
      <c r="D7" s="1">
        <v>187.71199999999999</v>
      </c>
      <c r="E7" s="1">
        <v>192.71899999999999</v>
      </c>
      <c r="F7" s="1">
        <v>200.19900000000001</v>
      </c>
      <c r="G7" s="1">
        <v>200.196</v>
      </c>
      <c r="H7" s="1">
        <v>200.21199999999999</v>
      </c>
      <c r="I7" s="8">
        <v>0.05</v>
      </c>
      <c r="K7" s="1"/>
    </row>
    <row r="8" spans="1:11" x14ac:dyDescent="0.3">
      <c r="A8" s="7">
        <v>0.06</v>
      </c>
      <c r="B8" s="1">
        <v>195.26599999999999</v>
      </c>
      <c r="C8" s="1">
        <v>187.82400000000001</v>
      </c>
      <c r="D8" s="1">
        <v>187.797</v>
      </c>
      <c r="E8" s="1">
        <v>192.809</v>
      </c>
      <c r="F8" s="1">
        <v>200.27500000000001</v>
      </c>
      <c r="G8" s="1">
        <v>200.27</v>
      </c>
      <c r="H8" s="1">
        <v>200.297</v>
      </c>
      <c r="I8" s="8">
        <v>0.06</v>
      </c>
      <c r="K8" s="1"/>
    </row>
    <row r="9" spans="1:11" x14ac:dyDescent="0.3">
      <c r="A9" s="7">
        <v>7.0000000000000007E-2</v>
      </c>
      <c r="B9" s="1">
        <v>195.346</v>
      </c>
      <c r="C9" s="1">
        <v>187.934</v>
      </c>
      <c r="D9" s="1">
        <v>187.893</v>
      </c>
      <c r="E9" s="1">
        <v>192.911</v>
      </c>
      <c r="F9" s="1">
        <v>200.36</v>
      </c>
      <c r="G9" s="1">
        <v>200.35300000000001</v>
      </c>
      <c r="H9" s="1">
        <v>200.393</v>
      </c>
      <c r="I9" s="8">
        <v>7.0000000000000007E-2</v>
      </c>
      <c r="K9" s="1"/>
    </row>
    <row r="10" spans="1:11" x14ac:dyDescent="0.3">
      <c r="A10" s="7">
        <v>0.08</v>
      </c>
      <c r="B10" s="1">
        <v>195.434</v>
      </c>
      <c r="C10" s="1">
        <v>188.059</v>
      </c>
      <c r="D10" s="1">
        <v>187.999</v>
      </c>
      <c r="E10" s="1">
        <v>193.02600000000001</v>
      </c>
      <c r="F10" s="1">
        <v>200.453</v>
      </c>
      <c r="G10" s="1">
        <v>200.44300000000001</v>
      </c>
      <c r="H10" s="1">
        <v>200.499</v>
      </c>
      <c r="I10" s="8">
        <v>0.08</v>
      </c>
      <c r="K10" s="1"/>
    </row>
    <row r="11" spans="1:11" x14ac:dyDescent="0.3">
      <c r="A11" s="7">
        <v>0.09</v>
      </c>
      <c r="B11" s="1">
        <v>195.52699999999999</v>
      </c>
      <c r="C11" s="1">
        <v>188.19800000000001</v>
      </c>
      <c r="D11" s="1">
        <v>188.11600000000001</v>
      </c>
      <c r="E11" s="1">
        <v>193.15199999999999</v>
      </c>
      <c r="F11" s="1">
        <v>200.554</v>
      </c>
      <c r="G11" s="1">
        <v>200.54</v>
      </c>
      <c r="H11" s="1">
        <v>200.61600000000001</v>
      </c>
      <c r="I11" s="8">
        <v>0.09</v>
      </c>
      <c r="K11" s="1"/>
    </row>
    <row r="12" spans="1:11" x14ac:dyDescent="0.3">
      <c r="A12" s="7">
        <v>0.1</v>
      </c>
      <c r="B12" s="1">
        <v>195.625</v>
      </c>
      <c r="C12" s="1">
        <v>188.35</v>
      </c>
      <c r="D12" s="1">
        <v>188.24199999999999</v>
      </c>
      <c r="E12" s="1">
        <v>193.28899999999999</v>
      </c>
      <c r="F12" s="1">
        <v>200.66</v>
      </c>
      <c r="G12" s="1">
        <v>200.642</v>
      </c>
      <c r="H12" s="1">
        <v>200.74199999999999</v>
      </c>
      <c r="I12" s="8">
        <v>0.1</v>
      </c>
      <c r="K12" s="1"/>
    </row>
    <row r="13" spans="1:11" x14ac:dyDescent="0.3">
      <c r="A13" s="7">
        <v>0.11</v>
      </c>
      <c r="B13" s="1">
        <v>195.72800000000001</v>
      </c>
      <c r="C13" s="1">
        <v>188.51499999999999</v>
      </c>
      <c r="D13" s="1">
        <v>188.376</v>
      </c>
      <c r="E13" s="1">
        <v>193.43700000000001</v>
      </c>
      <c r="F13" s="1">
        <v>200.77199999999999</v>
      </c>
      <c r="G13" s="1">
        <v>200.749</v>
      </c>
      <c r="H13" s="1">
        <v>200.876</v>
      </c>
      <c r="I13" s="8">
        <v>0.11</v>
      </c>
      <c r="K13" s="1"/>
    </row>
    <row r="14" spans="1:11" x14ac:dyDescent="0.3">
      <c r="A14" s="7">
        <v>0.12</v>
      </c>
      <c r="B14" s="1">
        <v>195.83500000000001</v>
      </c>
      <c r="C14" s="1">
        <v>188.69200000000001</v>
      </c>
      <c r="D14" s="1">
        <v>188.51900000000001</v>
      </c>
      <c r="E14" s="1">
        <v>193.595</v>
      </c>
      <c r="F14" s="1">
        <v>200.88900000000001</v>
      </c>
      <c r="G14" s="1">
        <v>200.86099999999999</v>
      </c>
      <c r="H14" s="1">
        <v>201.01900000000001</v>
      </c>
      <c r="I14" s="8">
        <v>0.12</v>
      </c>
      <c r="K14" s="1"/>
    </row>
    <row r="15" spans="1:11" x14ac:dyDescent="0.3">
      <c r="A15" s="7">
        <v>0.13</v>
      </c>
      <c r="B15" s="1">
        <v>195.94499999999999</v>
      </c>
      <c r="C15" s="1">
        <v>188.88200000000001</v>
      </c>
      <c r="D15" s="1">
        <v>188.66800000000001</v>
      </c>
      <c r="E15" s="1">
        <v>193.762</v>
      </c>
      <c r="F15" s="1">
        <v>201.011</v>
      </c>
      <c r="G15" s="1">
        <v>200.976</v>
      </c>
      <c r="H15" s="1">
        <v>201.16800000000001</v>
      </c>
      <c r="I15" s="8">
        <v>0.13</v>
      </c>
      <c r="K15" s="1"/>
    </row>
    <row r="16" spans="1:11" x14ac:dyDescent="0.3">
      <c r="A16" s="7">
        <v>0.14000000000000001</v>
      </c>
      <c r="B16" s="1">
        <v>196.05699999999999</v>
      </c>
      <c r="C16" s="1">
        <v>189.084</v>
      </c>
      <c r="D16" s="1">
        <v>188.82499999999999</v>
      </c>
      <c r="E16" s="1">
        <v>193.93799999999999</v>
      </c>
      <c r="F16" s="1">
        <v>201.136</v>
      </c>
      <c r="G16" s="1">
        <v>201.095</v>
      </c>
      <c r="H16" s="1">
        <v>201.32499999999999</v>
      </c>
      <c r="I16" s="8">
        <v>0.14000000000000001</v>
      </c>
      <c r="K16" s="1"/>
    </row>
    <row r="17" spans="1:11" x14ac:dyDescent="0.3">
      <c r="A17" s="7">
        <v>0.15</v>
      </c>
      <c r="B17" s="1">
        <v>196.172</v>
      </c>
      <c r="C17" s="1">
        <v>189.297</v>
      </c>
      <c r="D17" s="1">
        <v>188.988</v>
      </c>
      <c r="E17" s="1">
        <v>194.12299999999999</v>
      </c>
      <c r="F17" s="1">
        <v>201.26400000000001</v>
      </c>
      <c r="G17" s="1">
        <v>201.21600000000001</v>
      </c>
      <c r="H17" s="1">
        <v>201.488</v>
      </c>
      <c r="I17" s="8">
        <v>0.15</v>
      </c>
      <c r="K17" s="1"/>
    </row>
    <row r="18" spans="1:11" x14ac:dyDescent="0.3">
      <c r="A18" s="7">
        <v>0.16</v>
      </c>
      <c r="B18" s="1">
        <v>196.28700000000001</v>
      </c>
      <c r="C18" s="1">
        <v>189.52099999999999</v>
      </c>
      <c r="D18" s="1">
        <v>189.15700000000001</v>
      </c>
      <c r="E18" s="1">
        <v>194.316</v>
      </c>
      <c r="F18" s="1">
        <v>201.39500000000001</v>
      </c>
      <c r="G18" s="1">
        <v>201.33799999999999</v>
      </c>
      <c r="H18" s="1">
        <v>201.65700000000001</v>
      </c>
      <c r="I18" s="8">
        <v>0.16</v>
      </c>
      <c r="K18" s="1"/>
    </row>
    <row r="19" spans="1:11" x14ac:dyDescent="0.3">
      <c r="A19" s="7">
        <v>0.17</v>
      </c>
      <c r="B19" s="1">
        <v>196.40299999999999</v>
      </c>
      <c r="C19" s="1">
        <v>189.756</v>
      </c>
      <c r="D19" s="1">
        <v>189.33199999999999</v>
      </c>
      <c r="E19" s="1">
        <v>194.51599999999999</v>
      </c>
      <c r="F19" s="1">
        <v>201.52799999999999</v>
      </c>
      <c r="G19" s="1">
        <v>201.46299999999999</v>
      </c>
      <c r="H19" s="1">
        <v>201.83199999999999</v>
      </c>
      <c r="I19" s="8">
        <v>0.17</v>
      </c>
      <c r="K19" s="1"/>
    </row>
    <row r="20" spans="1:11" x14ac:dyDescent="0.3">
      <c r="A20" s="7">
        <v>0.18</v>
      </c>
      <c r="B20" s="1">
        <v>196.52</v>
      </c>
      <c r="C20" s="1">
        <v>190.00200000000001</v>
      </c>
      <c r="D20" s="1">
        <v>189.511</v>
      </c>
      <c r="E20" s="1">
        <v>194.72399999999999</v>
      </c>
      <c r="F20" s="1">
        <v>201.66200000000001</v>
      </c>
      <c r="G20" s="1">
        <v>201.58699999999999</v>
      </c>
      <c r="H20" s="1">
        <v>202.011</v>
      </c>
      <c r="I20" s="8">
        <v>0.18</v>
      </c>
      <c r="K20" s="1"/>
    </row>
    <row r="21" spans="1:11" x14ac:dyDescent="0.3">
      <c r="A21" s="7">
        <v>0.19</v>
      </c>
      <c r="B21" s="1">
        <v>196.636</v>
      </c>
      <c r="C21" s="1">
        <v>190.25700000000001</v>
      </c>
      <c r="D21" s="1">
        <v>189.69499999999999</v>
      </c>
      <c r="E21" s="1">
        <v>194.93799999999999</v>
      </c>
      <c r="F21" s="1">
        <v>201.798</v>
      </c>
      <c r="G21" s="1">
        <v>201.71199999999999</v>
      </c>
      <c r="H21" s="1">
        <v>202.19499999999999</v>
      </c>
      <c r="I21" s="8">
        <v>0.19</v>
      </c>
      <c r="K21" s="1"/>
    </row>
    <row r="22" spans="1:11" x14ac:dyDescent="0.3">
      <c r="A22" s="7">
        <v>0.2</v>
      </c>
      <c r="B22" s="1">
        <v>196.751</v>
      </c>
      <c r="C22" s="1">
        <v>190.523</v>
      </c>
      <c r="D22" s="1">
        <v>189.88200000000001</v>
      </c>
      <c r="E22" s="1">
        <v>195.15899999999999</v>
      </c>
      <c r="F22" s="1">
        <v>201.93299999999999</v>
      </c>
      <c r="G22" s="1">
        <v>201.83699999999999</v>
      </c>
      <c r="H22" s="1">
        <v>202.38200000000001</v>
      </c>
      <c r="I22" s="8">
        <v>0.2</v>
      </c>
      <c r="K22" s="1"/>
    </row>
    <row r="23" spans="1:11" x14ac:dyDescent="0.3">
      <c r="A23" s="7">
        <v>0.21</v>
      </c>
      <c r="B23" s="1">
        <v>196.864</v>
      </c>
      <c r="C23" s="1">
        <v>190.797</v>
      </c>
      <c r="D23" s="1">
        <v>190.07300000000001</v>
      </c>
      <c r="E23" s="1">
        <v>195.38499999999999</v>
      </c>
      <c r="F23" s="1">
        <v>202.06800000000001</v>
      </c>
      <c r="G23" s="1">
        <v>201.96</v>
      </c>
      <c r="H23" s="1">
        <v>202.57300000000001</v>
      </c>
      <c r="I23" s="8">
        <v>0.21</v>
      </c>
      <c r="K23" s="1"/>
    </row>
    <row r="24" spans="1:11" x14ac:dyDescent="0.3">
      <c r="A24" s="7">
        <v>0.22</v>
      </c>
      <c r="B24" s="1">
        <v>196.97499999999999</v>
      </c>
      <c r="C24" s="1">
        <v>191.08099999999999</v>
      </c>
      <c r="D24" s="1">
        <v>190.267</v>
      </c>
      <c r="E24" s="1">
        <v>195.61699999999999</v>
      </c>
      <c r="F24" s="1">
        <v>202.202</v>
      </c>
      <c r="G24" s="1">
        <v>202.08199999999999</v>
      </c>
      <c r="H24" s="1">
        <v>202.767</v>
      </c>
      <c r="I24" s="8">
        <v>0.22</v>
      </c>
      <c r="K24" s="1"/>
    </row>
    <row r="25" spans="1:11" x14ac:dyDescent="0.3">
      <c r="A25" s="7">
        <v>0.23</v>
      </c>
      <c r="B25" s="1">
        <v>197.08199999999999</v>
      </c>
      <c r="C25" s="1">
        <v>191.37299999999999</v>
      </c>
      <c r="D25" s="1">
        <v>190.46299999999999</v>
      </c>
      <c r="E25" s="1">
        <v>195.85400000000001</v>
      </c>
      <c r="F25" s="1">
        <v>202.334</v>
      </c>
      <c r="G25" s="1">
        <v>202.20099999999999</v>
      </c>
      <c r="H25" s="1">
        <v>202.96299999999999</v>
      </c>
      <c r="I25" s="8">
        <v>0.23</v>
      </c>
      <c r="K25" s="1"/>
    </row>
    <row r="26" spans="1:11" x14ac:dyDescent="0.3">
      <c r="A26" s="7">
        <v>0.24</v>
      </c>
      <c r="B26" s="1">
        <v>197.18600000000001</v>
      </c>
      <c r="C26" s="1">
        <v>191.67400000000001</v>
      </c>
      <c r="D26" s="1">
        <v>190.661</v>
      </c>
      <c r="E26" s="1">
        <v>196.09399999999999</v>
      </c>
      <c r="F26" s="1">
        <v>202.464</v>
      </c>
      <c r="G26" s="1">
        <v>202.31700000000001</v>
      </c>
      <c r="H26" s="1">
        <v>203.16</v>
      </c>
      <c r="I26" s="8">
        <v>0.24</v>
      </c>
      <c r="K26" s="1"/>
    </row>
    <row r="27" spans="1:11" x14ac:dyDescent="0.3">
      <c r="A27" s="7">
        <v>0.25</v>
      </c>
      <c r="B27" s="1">
        <v>197.285</v>
      </c>
      <c r="C27" s="1">
        <v>191.982</v>
      </c>
      <c r="D27" s="1">
        <v>190.85900000000001</v>
      </c>
      <c r="E27" s="1">
        <v>196.339</v>
      </c>
      <c r="F27" s="1">
        <v>202.59</v>
      </c>
      <c r="G27" s="1">
        <v>202.429</v>
      </c>
      <c r="H27" s="1">
        <v>203.35900000000001</v>
      </c>
      <c r="I27" s="8">
        <v>0.25</v>
      </c>
      <c r="K27" s="1"/>
    </row>
    <row r="28" spans="1:11" x14ac:dyDescent="0.3">
      <c r="A28" s="7">
        <v>0.26</v>
      </c>
      <c r="B28" s="1">
        <v>197.37899999999999</v>
      </c>
      <c r="C28" s="1">
        <v>192.297</v>
      </c>
      <c r="D28" s="1">
        <v>191.05799999999999</v>
      </c>
      <c r="E28" s="1">
        <v>196.58699999999999</v>
      </c>
      <c r="F28" s="1">
        <v>202.71299999999999</v>
      </c>
      <c r="G28" s="1">
        <v>202.536</v>
      </c>
      <c r="H28" s="1">
        <v>203.55799999999999</v>
      </c>
      <c r="I28" s="8">
        <v>0.26</v>
      </c>
      <c r="K28" s="1"/>
    </row>
    <row r="29" spans="1:11" x14ac:dyDescent="0.3">
      <c r="A29" s="7">
        <v>0.27</v>
      </c>
      <c r="B29" s="1">
        <v>197.46600000000001</v>
      </c>
      <c r="C29" s="1">
        <v>192.62</v>
      </c>
      <c r="D29" s="1">
        <v>191.25700000000001</v>
      </c>
      <c r="E29" s="1">
        <v>196.83699999999999</v>
      </c>
      <c r="F29" s="1">
        <v>202.83099999999999</v>
      </c>
      <c r="G29" s="1">
        <v>202.63800000000001</v>
      </c>
      <c r="H29" s="1">
        <v>203.75700000000001</v>
      </c>
      <c r="I29" s="8">
        <v>0.27</v>
      </c>
      <c r="K29" s="1"/>
    </row>
    <row r="30" spans="1:11" x14ac:dyDescent="0.3">
      <c r="A30" s="7">
        <v>0.28000000000000003</v>
      </c>
      <c r="B30" s="1">
        <v>197.547</v>
      </c>
      <c r="C30" s="1">
        <v>192.94800000000001</v>
      </c>
      <c r="D30" s="1">
        <v>191.45500000000001</v>
      </c>
      <c r="E30" s="1">
        <v>197.09</v>
      </c>
      <c r="F30" s="1">
        <v>202.94399999999999</v>
      </c>
      <c r="G30" s="1">
        <v>202.733</v>
      </c>
      <c r="H30" s="1">
        <v>203.95500000000001</v>
      </c>
      <c r="I30" s="8">
        <v>0.28000000000000003</v>
      </c>
      <c r="K30" s="1"/>
    </row>
    <row r="31" spans="1:11" x14ac:dyDescent="0.3">
      <c r="A31" s="7">
        <v>0.28999999999999998</v>
      </c>
      <c r="B31" s="1">
        <v>197.619</v>
      </c>
      <c r="C31" s="1">
        <v>193.28299999999999</v>
      </c>
      <c r="D31" s="1">
        <v>191.65199999999999</v>
      </c>
      <c r="E31" s="1">
        <v>197.34399999999999</v>
      </c>
      <c r="F31" s="1">
        <v>203.05</v>
      </c>
      <c r="G31" s="1">
        <v>202.821</v>
      </c>
      <c r="H31" s="1">
        <v>204.15100000000001</v>
      </c>
      <c r="I31" s="8">
        <v>0.28999999999999998</v>
      </c>
      <c r="K31" s="1"/>
    </row>
    <row r="32" spans="1:11" x14ac:dyDescent="0.3">
      <c r="A32" s="7">
        <v>0.3</v>
      </c>
      <c r="B32" s="1">
        <v>197.68299999999999</v>
      </c>
      <c r="C32" s="1">
        <v>193.62299999999999</v>
      </c>
      <c r="D32" s="1">
        <v>191.846</v>
      </c>
      <c r="E32" s="1">
        <v>197.59800000000001</v>
      </c>
      <c r="F32" s="1">
        <v>203.149</v>
      </c>
      <c r="G32" s="1">
        <v>202.90100000000001</v>
      </c>
      <c r="H32" s="1">
        <v>204.345</v>
      </c>
      <c r="I32" s="8">
        <v>0.3</v>
      </c>
      <c r="K32" s="1"/>
    </row>
    <row r="33" spans="1:11" x14ac:dyDescent="0.3">
      <c r="A33" s="7">
        <v>0.31</v>
      </c>
      <c r="B33" s="1">
        <v>197.738</v>
      </c>
      <c r="C33" s="1">
        <v>193.96799999999999</v>
      </c>
      <c r="D33" s="1">
        <v>192.03700000000001</v>
      </c>
      <c r="E33" s="1">
        <v>197.85300000000001</v>
      </c>
      <c r="F33" s="1">
        <v>203.24</v>
      </c>
      <c r="G33" s="1">
        <v>202.97200000000001</v>
      </c>
      <c r="H33" s="1">
        <v>204.536</v>
      </c>
      <c r="I33" s="8">
        <v>0.31</v>
      </c>
      <c r="K33" s="1"/>
    </row>
    <row r="34" spans="1:11" x14ac:dyDescent="0.3">
      <c r="A34" s="7">
        <v>0.32</v>
      </c>
      <c r="B34" s="1">
        <v>197.78200000000001</v>
      </c>
      <c r="C34" s="1">
        <v>194.31700000000001</v>
      </c>
      <c r="D34" s="1">
        <v>192.22499999999999</v>
      </c>
      <c r="E34" s="1">
        <v>198.10599999999999</v>
      </c>
      <c r="F34" s="1">
        <v>203.322</v>
      </c>
      <c r="G34" s="1">
        <v>203.03299999999999</v>
      </c>
      <c r="H34" s="1">
        <v>204.72300000000001</v>
      </c>
      <c r="I34" s="8">
        <v>0.32</v>
      </c>
      <c r="K34" s="1"/>
    </row>
    <row r="35" spans="1:11" x14ac:dyDescent="0.3">
      <c r="A35" s="7">
        <v>0.33</v>
      </c>
      <c r="B35" s="1">
        <v>197.81399999999999</v>
      </c>
      <c r="C35" s="1">
        <v>194.67</v>
      </c>
      <c r="D35" s="1">
        <v>192.40799999999999</v>
      </c>
      <c r="E35" s="1">
        <v>198.358</v>
      </c>
      <c r="F35" s="1">
        <v>203.39400000000001</v>
      </c>
      <c r="G35" s="1">
        <v>203.084</v>
      </c>
      <c r="H35" s="1">
        <v>204.90600000000001</v>
      </c>
      <c r="I35" s="8">
        <v>0.33</v>
      </c>
      <c r="K35" s="1"/>
    </row>
    <row r="36" spans="1:11" x14ac:dyDescent="0.3">
      <c r="A36" s="7">
        <v>0.34</v>
      </c>
      <c r="B36" s="1">
        <v>197.834</v>
      </c>
      <c r="C36" s="1">
        <v>195.02500000000001</v>
      </c>
      <c r="D36" s="1">
        <v>192.58600000000001</v>
      </c>
      <c r="E36" s="1">
        <v>198.607</v>
      </c>
      <c r="F36" s="1">
        <v>203.45500000000001</v>
      </c>
      <c r="G36" s="1">
        <v>203.12200000000001</v>
      </c>
      <c r="H36" s="1">
        <v>205.083</v>
      </c>
      <c r="I36" s="8">
        <v>0.34</v>
      </c>
      <c r="K36" s="1"/>
    </row>
    <row r="37" spans="1:11" x14ac:dyDescent="0.3">
      <c r="A37" s="7">
        <v>0.35</v>
      </c>
      <c r="B37" s="1">
        <v>197.84100000000001</v>
      </c>
      <c r="C37" s="1">
        <v>195.38300000000001</v>
      </c>
      <c r="D37" s="1">
        <v>192.75800000000001</v>
      </c>
      <c r="E37" s="1">
        <v>198.85300000000001</v>
      </c>
      <c r="F37" s="1">
        <v>203.50399999999999</v>
      </c>
      <c r="G37" s="1">
        <v>203.14699999999999</v>
      </c>
      <c r="H37" s="1">
        <v>205.25399999999999</v>
      </c>
      <c r="I37" s="8">
        <v>0.35</v>
      </c>
      <c r="K37" s="1"/>
    </row>
    <row r="38" spans="1:11" x14ac:dyDescent="0.3">
      <c r="A38" s="7">
        <v>0.36</v>
      </c>
      <c r="B38" s="1">
        <v>197.834</v>
      </c>
      <c r="C38" s="1">
        <v>195.74199999999999</v>
      </c>
      <c r="D38" s="1">
        <v>192.923</v>
      </c>
      <c r="E38" s="1">
        <v>199.09299999999999</v>
      </c>
      <c r="F38" s="1">
        <v>203.54</v>
      </c>
      <c r="G38" s="1">
        <v>203.15799999999999</v>
      </c>
      <c r="H38" s="1">
        <v>205.417</v>
      </c>
      <c r="I38" s="8">
        <v>0.36</v>
      </c>
      <c r="K38" s="1"/>
    </row>
    <row r="39" spans="1:11" x14ac:dyDescent="0.3">
      <c r="A39" s="7">
        <v>0.37</v>
      </c>
      <c r="B39" s="1">
        <v>197.81200000000001</v>
      </c>
      <c r="C39" s="1">
        <v>196.101</v>
      </c>
      <c r="D39" s="1">
        <v>193.08099999999999</v>
      </c>
      <c r="E39" s="1">
        <v>199.328</v>
      </c>
      <c r="F39" s="1">
        <v>203.56100000000001</v>
      </c>
      <c r="G39" s="1">
        <v>203.154</v>
      </c>
      <c r="H39" s="1">
        <v>205.57300000000001</v>
      </c>
      <c r="I39" s="8">
        <v>0.37</v>
      </c>
      <c r="K39" s="1"/>
    </row>
    <row r="40" spans="1:11" x14ac:dyDescent="0.3">
      <c r="A40" s="7">
        <v>0.38</v>
      </c>
      <c r="B40" s="1">
        <v>197.774</v>
      </c>
      <c r="C40" s="1">
        <v>196.459</v>
      </c>
      <c r="D40" s="1">
        <v>193.23</v>
      </c>
      <c r="E40" s="1">
        <v>199.55500000000001</v>
      </c>
      <c r="F40" s="1">
        <v>203.56700000000001</v>
      </c>
      <c r="G40" s="1">
        <v>203.13399999999999</v>
      </c>
      <c r="H40" s="1">
        <v>205.72</v>
      </c>
      <c r="I40" s="8">
        <v>0.38</v>
      </c>
      <c r="K40" s="1"/>
    </row>
    <row r="41" spans="1:11" x14ac:dyDescent="0.3">
      <c r="A41" s="7">
        <v>0.39</v>
      </c>
      <c r="B41" s="1">
        <v>197.71899999999999</v>
      </c>
      <c r="C41" s="1">
        <v>196.815</v>
      </c>
      <c r="D41" s="1">
        <v>193.37</v>
      </c>
      <c r="E41" s="1">
        <v>199.774</v>
      </c>
      <c r="F41" s="1">
        <v>203.55699999999999</v>
      </c>
      <c r="G41" s="1">
        <v>203.09700000000001</v>
      </c>
      <c r="H41" s="1">
        <v>205.857</v>
      </c>
      <c r="I41" s="8">
        <v>0.39</v>
      </c>
      <c r="K41" s="1"/>
    </row>
    <row r="42" spans="1:11" x14ac:dyDescent="0.3">
      <c r="A42" s="7">
        <v>0.4</v>
      </c>
      <c r="B42" s="1">
        <v>197.648</v>
      </c>
      <c r="C42" s="1">
        <v>197.167</v>
      </c>
      <c r="D42" s="1">
        <v>193.499</v>
      </c>
      <c r="E42" s="1">
        <v>199.982</v>
      </c>
      <c r="F42" s="1">
        <v>203.529</v>
      </c>
      <c r="G42" s="1">
        <v>203.041</v>
      </c>
      <c r="H42" s="1">
        <v>205.983</v>
      </c>
      <c r="I42" s="8">
        <v>0.4</v>
      </c>
      <c r="K42" s="1"/>
    </row>
    <row r="43" spans="1:11" x14ac:dyDescent="0.3">
      <c r="A43" s="7">
        <v>0.41</v>
      </c>
      <c r="B43" s="1">
        <v>197.559</v>
      </c>
      <c r="C43" s="1">
        <v>197.51400000000001</v>
      </c>
      <c r="D43" s="1">
        <v>193.61799999999999</v>
      </c>
      <c r="E43" s="1">
        <v>200.17699999999999</v>
      </c>
      <c r="F43" s="1">
        <v>203.48099999999999</v>
      </c>
      <c r="G43" s="1">
        <v>202.96600000000001</v>
      </c>
      <c r="H43" s="1">
        <v>206.09700000000001</v>
      </c>
      <c r="I43" s="8">
        <v>0.41</v>
      </c>
      <c r="K43" s="1"/>
    </row>
    <row r="44" spans="1:11" x14ac:dyDescent="0.3">
      <c r="A44" s="7">
        <v>0.42</v>
      </c>
      <c r="B44" s="1">
        <v>197.452</v>
      </c>
      <c r="C44" s="1">
        <v>197.85400000000001</v>
      </c>
      <c r="D44" s="1">
        <v>193.726</v>
      </c>
      <c r="E44" s="1">
        <v>200.357</v>
      </c>
      <c r="F44" s="1">
        <v>203.41300000000001</v>
      </c>
      <c r="G44" s="1">
        <v>202.87</v>
      </c>
      <c r="H44" s="1">
        <v>206.19900000000001</v>
      </c>
      <c r="I44" s="8">
        <v>0.42</v>
      </c>
      <c r="K44" s="1"/>
    </row>
    <row r="45" spans="1:11" x14ac:dyDescent="0.3">
      <c r="A45" s="7">
        <v>0.43</v>
      </c>
      <c r="B45" s="1">
        <v>197.327</v>
      </c>
      <c r="C45" s="1">
        <v>198.185</v>
      </c>
      <c r="D45" s="1">
        <v>193.821</v>
      </c>
      <c r="E45" s="1">
        <v>200.51900000000001</v>
      </c>
      <c r="F45" s="1">
        <v>203.32400000000001</v>
      </c>
      <c r="G45" s="1">
        <v>202.75200000000001</v>
      </c>
      <c r="H45" s="1">
        <v>206.28700000000001</v>
      </c>
      <c r="I45" s="8">
        <v>0.43</v>
      </c>
      <c r="K45" s="1"/>
    </row>
    <row r="46" spans="1:11" x14ac:dyDescent="0.3">
      <c r="A46" s="7">
        <v>0.44</v>
      </c>
      <c r="B46" s="1">
        <v>197.185</v>
      </c>
      <c r="C46" s="1">
        <v>198.50399999999999</v>
      </c>
      <c r="D46" s="1">
        <v>193.904</v>
      </c>
      <c r="E46" s="1">
        <v>200.66</v>
      </c>
      <c r="F46" s="1">
        <v>203.21199999999999</v>
      </c>
      <c r="G46" s="1">
        <v>202.61199999999999</v>
      </c>
      <c r="H46" s="1">
        <v>206.36</v>
      </c>
      <c r="I46" s="8">
        <v>0.44</v>
      </c>
      <c r="K46" s="1"/>
    </row>
    <row r="47" spans="1:11" x14ac:dyDescent="0.3">
      <c r="A47" s="7">
        <v>0.45</v>
      </c>
      <c r="B47" s="1">
        <v>197.02500000000001</v>
      </c>
      <c r="C47" s="1">
        <v>198.809</v>
      </c>
      <c r="D47" s="1">
        <v>193.97399999999999</v>
      </c>
      <c r="E47" s="1">
        <v>200.77799999999999</v>
      </c>
      <c r="F47" s="1">
        <v>203.07499999999999</v>
      </c>
      <c r="G47" s="1">
        <v>202.44800000000001</v>
      </c>
      <c r="H47" s="1">
        <v>206.417</v>
      </c>
      <c r="I47" s="8">
        <v>0.45</v>
      </c>
      <c r="K47" s="1"/>
    </row>
    <row r="48" spans="1:11" x14ac:dyDescent="0.3">
      <c r="A48" s="7">
        <v>0.46</v>
      </c>
      <c r="B48" s="1">
        <v>196.85</v>
      </c>
      <c r="C48" s="1">
        <v>199.095</v>
      </c>
      <c r="D48" s="1">
        <v>194.03</v>
      </c>
      <c r="E48" s="1">
        <v>200.86699999999999</v>
      </c>
      <c r="F48" s="1">
        <v>202.91200000000001</v>
      </c>
      <c r="G48" s="1">
        <v>202.26</v>
      </c>
      <c r="H48" s="1">
        <v>206.45699999999999</v>
      </c>
      <c r="I48" s="8">
        <v>0.46</v>
      </c>
      <c r="K48" s="1"/>
    </row>
    <row r="49" spans="1:11" x14ac:dyDescent="0.3">
      <c r="A49" s="7">
        <v>0.47</v>
      </c>
      <c r="B49" s="1">
        <v>196.65899999999999</v>
      </c>
      <c r="C49" s="1">
        <v>199.36</v>
      </c>
      <c r="D49" s="1">
        <v>194.072</v>
      </c>
      <c r="E49" s="1">
        <v>200.92400000000001</v>
      </c>
      <c r="F49" s="1">
        <v>202.72300000000001</v>
      </c>
      <c r="G49" s="1">
        <v>202.047</v>
      </c>
      <c r="H49" s="1">
        <v>206.48</v>
      </c>
      <c r="I49" s="8">
        <v>0.47</v>
      </c>
      <c r="K49" s="1"/>
    </row>
    <row r="50" spans="1:11" x14ac:dyDescent="0.3">
      <c r="A50" s="7">
        <v>0.48</v>
      </c>
      <c r="B50" s="1">
        <v>196.45500000000001</v>
      </c>
      <c r="C50" s="1">
        <v>199.6</v>
      </c>
      <c r="D50" s="1">
        <v>194.1</v>
      </c>
      <c r="E50" s="1">
        <v>200.94300000000001</v>
      </c>
      <c r="F50" s="1">
        <v>202.505</v>
      </c>
      <c r="G50" s="1">
        <v>201.80699999999999</v>
      </c>
      <c r="H50" s="1">
        <v>206.48500000000001</v>
      </c>
      <c r="I50" s="8">
        <v>0.48</v>
      </c>
      <c r="K50" s="1"/>
    </row>
    <row r="51" spans="1:11" x14ac:dyDescent="0.3">
      <c r="A51" s="7">
        <v>0.49</v>
      </c>
      <c r="B51" s="1">
        <v>196.239</v>
      </c>
      <c r="C51" s="1">
        <v>199.81</v>
      </c>
      <c r="D51" s="1">
        <v>194.11500000000001</v>
      </c>
      <c r="E51" s="1">
        <v>200.92</v>
      </c>
      <c r="F51" s="1">
        <v>202.25800000000001</v>
      </c>
      <c r="G51" s="1">
        <v>201.542</v>
      </c>
      <c r="H51" s="1">
        <v>206.471</v>
      </c>
      <c r="I51" s="8">
        <v>0.49</v>
      </c>
      <c r="K51" s="1"/>
    </row>
    <row r="52" spans="1:11" x14ac:dyDescent="0.3">
      <c r="A52" s="7">
        <v>0.5</v>
      </c>
      <c r="B52" s="1">
        <v>196.01499999999999</v>
      </c>
      <c r="C52" s="1">
        <v>199.98500000000001</v>
      </c>
      <c r="D52" s="1">
        <v>194.11699999999999</v>
      </c>
      <c r="E52" s="1">
        <v>200.84899999999999</v>
      </c>
      <c r="F52" s="1">
        <v>201.98099999999999</v>
      </c>
      <c r="G52" s="1">
        <v>201.249</v>
      </c>
      <c r="H52" s="1">
        <v>206.43700000000001</v>
      </c>
      <c r="I52" s="8">
        <v>0.5</v>
      </c>
      <c r="K52" s="1"/>
    </row>
    <row r="53" spans="1:11" x14ac:dyDescent="0.3">
      <c r="A53" s="7">
        <v>0.51</v>
      </c>
      <c r="B53" s="1">
        <v>195.785</v>
      </c>
      <c r="C53" s="1">
        <v>200.12200000000001</v>
      </c>
      <c r="D53" s="1">
        <v>194.10499999999999</v>
      </c>
      <c r="E53" s="1">
        <v>200.72399999999999</v>
      </c>
      <c r="F53" s="1">
        <v>201.67099999999999</v>
      </c>
      <c r="G53" s="1">
        <v>200.93</v>
      </c>
      <c r="H53" s="1">
        <v>206.38200000000001</v>
      </c>
      <c r="I53" s="8">
        <v>0.51</v>
      </c>
      <c r="K53" s="1"/>
    </row>
    <row r="54" spans="1:11" x14ac:dyDescent="0.3">
      <c r="A54" s="7">
        <v>0.52</v>
      </c>
      <c r="B54" s="1">
        <v>195.55</v>
      </c>
      <c r="C54" s="1">
        <v>200.215</v>
      </c>
      <c r="D54" s="1">
        <v>194.08099999999999</v>
      </c>
      <c r="E54" s="1">
        <v>200.541</v>
      </c>
      <c r="F54" s="1">
        <v>201.33</v>
      </c>
      <c r="G54" s="1">
        <v>200.584</v>
      </c>
      <c r="H54" s="1">
        <v>206.30699999999999</v>
      </c>
      <c r="I54" s="8">
        <v>0.52</v>
      </c>
      <c r="K54" s="1"/>
    </row>
    <row r="55" spans="1:11" x14ac:dyDescent="0.3">
      <c r="A55" s="7">
        <v>0.53</v>
      </c>
      <c r="B55" s="1">
        <v>195.31399999999999</v>
      </c>
      <c r="C55" s="1">
        <v>200.261</v>
      </c>
      <c r="D55" s="1">
        <v>194.04499999999999</v>
      </c>
      <c r="E55" s="1">
        <v>200.29499999999999</v>
      </c>
      <c r="F55" s="1">
        <v>200.95400000000001</v>
      </c>
      <c r="G55" s="1">
        <v>200.21</v>
      </c>
      <c r="H55" s="1">
        <v>206.21100000000001</v>
      </c>
      <c r="I55" s="8">
        <v>0.53</v>
      </c>
      <c r="K55" s="1"/>
    </row>
    <row r="56" spans="1:11" x14ac:dyDescent="0.3">
      <c r="A56" s="7">
        <v>0.54</v>
      </c>
      <c r="B56" s="1">
        <v>195.078</v>
      </c>
      <c r="C56" s="1">
        <v>200.25700000000001</v>
      </c>
      <c r="D56" s="1">
        <v>193.99700000000001</v>
      </c>
      <c r="E56" s="1">
        <v>199.982</v>
      </c>
      <c r="F56" s="1">
        <v>200.54499999999999</v>
      </c>
      <c r="G56" s="1">
        <v>199.809</v>
      </c>
      <c r="H56" s="1">
        <v>206.09299999999999</v>
      </c>
      <c r="I56" s="8">
        <v>0.54</v>
      </c>
      <c r="K56" s="1"/>
    </row>
    <row r="57" spans="1:11" x14ac:dyDescent="0.3">
      <c r="A57" s="7">
        <v>0.55000000000000004</v>
      </c>
      <c r="B57" s="1">
        <v>194.84100000000001</v>
      </c>
      <c r="C57" s="1">
        <v>200.202</v>
      </c>
      <c r="D57" s="1">
        <v>193.93600000000001</v>
      </c>
      <c r="E57" s="1">
        <v>199.601</v>
      </c>
      <c r="F57" s="1">
        <v>200.1</v>
      </c>
      <c r="G57" s="1">
        <v>199.37899999999999</v>
      </c>
      <c r="H57" s="1">
        <v>205.95400000000001</v>
      </c>
      <c r="I57" s="8">
        <v>0.55000000000000004</v>
      </c>
      <c r="K57" s="1"/>
    </row>
    <row r="58" spans="1:11" x14ac:dyDescent="0.3">
      <c r="A58" s="7">
        <v>0.56000000000000005</v>
      </c>
      <c r="B58" s="1">
        <v>194.60400000000001</v>
      </c>
      <c r="C58" s="1">
        <v>200.095</v>
      </c>
      <c r="D58" s="1">
        <v>193.863</v>
      </c>
      <c r="E58" s="1">
        <v>199.15</v>
      </c>
      <c r="F58" s="1">
        <v>199.62</v>
      </c>
      <c r="G58" s="1">
        <v>198.92099999999999</v>
      </c>
      <c r="H58" s="1">
        <v>205.792</v>
      </c>
      <c r="I58" s="8">
        <v>0.56000000000000005</v>
      </c>
      <c r="K58" s="1"/>
    </row>
    <row r="59" spans="1:11" x14ac:dyDescent="0.3">
      <c r="A59" s="7">
        <v>0.56999999999999995</v>
      </c>
      <c r="B59" s="1">
        <v>194.364</v>
      </c>
      <c r="C59" s="1">
        <v>199.93799999999999</v>
      </c>
      <c r="D59" s="1">
        <v>193.77699999999999</v>
      </c>
      <c r="E59" s="1">
        <v>198.63200000000001</v>
      </c>
      <c r="F59" s="1">
        <v>199.10300000000001</v>
      </c>
      <c r="G59" s="1">
        <v>198.43199999999999</v>
      </c>
      <c r="H59" s="1">
        <v>205.607</v>
      </c>
      <c r="I59" s="8">
        <v>0.56999999999999995</v>
      </c>
      <c r="K59" s="1"/>
    </row>
    <row r="60" spans="1:11" x14ac:dyDescent="0.3">
      <c r="A60" s="7">
        <v>0.57999999999999996</v>
      </c>
      <c r="B60" s="1">
        <v>194.11699999999999</v>
      </c>
      <c r="C60" s="1">
        <v>199.733</v>
      </c>
      <c r="D60" s="1">
        <v>193.67500000000001</v>
      </c>
      <c r="E60" s="1">
        <v>198.05</v>
      </c>
      <c r="F60" s="1">
        <v>198.54900000000001</v>
      </c>
      <c r="G60" s="1">
        <v>197.911</v>
      </c>
      <c r="H60" s="1">
        <v>205.39699999999999</v>
      </c>
      <c r="I60" s="8">
        <v>0.57999999999999996</v>
      </c>
      <c r="K60" s="1"/>
    </row>
    <row r="61" spans="1:11" x14ac:dyDescent="0.3">
      <c r="A61" s="7">
        <v>0.59</v>
      </c>
      <c r="B61" s="1">
        <v>193.857</v>
      </c>
      <c r="C61" s="1">
        <v>199.48400000000001</v>
      </c>
      <c r="D61" s="1">
        <v>193.55600000000001</v>
      </c>
      <c r="E61" s="1">
        <v>197.40799999999999</v>
      </c>
      <c r="F61" s="1">
        <v>197.95500000000001</v>
      </c>
      <c r="G61" s="1">
        <v>197.35599999999999</v>
      </c>
      <c r="H61" s="1">
        <v>205.16300000000001</v>
      </c>
      <c r="I61" s="8">
        <v>0.59</v>
      </c>
      <c r="K61" s="1"/>
    </row>
    <row r="62" spans="1:11" x14ac:dyDescent="0.3">
      <c r="A62" s="7">
        <v>0.6</v>
      </c>
      <c r="B62" s="1">
        <v>193.57900000000001</v>
      </c>
      <c r="C62" s="1">
        <v>199.197</v>
      </c>
      <c r="D62" s="1">
        <v>193.417</v>
      </c>
      <c r="E62" s="1">
        <v>196.71100000000001</v>
      </c>
      <c r="F62" s="1">
        <v>197.322</v>
      </c>
      <c r="G62" s="1">
        <v>196.76400000000001</v>
      </c>
      <c r="H62" s="1">
        <v>204.90199999999999</v>
      </c>
      <c r="I62" s="8">
        <v>0.6</v>
      </c>
      <c r="K62" s="1"/>
    </row>
    <row r="63" spans="1:11" x14ac:dyDescent="0.3">
      <c r="A63" s="7">
        <v>0.61</v>
      </c>
      <c r="B63" s="1">
        <v>193.274</v>
      </c>
      <c r="C63" s="1">
        <v>198.875</v>
      </c>
      <c r="D63" s="1">
        <v>193.25399999999999</v>
      </c>
      <c r="E63" s="1">
        <v>195.965</v>
      </c>
      <c r="F63" s="1">
        <v>196.64599999999999</v>
      </c>
      <c r="G63" s="1">
        <v>196.13300000000001</v>
      </c>
      <c r="H63" s="1">
        <v>204.613</v>
      </c>
      <c r="I63" s="8">
        <v>0.61</v>
      </c>
      <c r="K63" s="1"/>
    </row>
    <row r="64" spans="1:11" x14ac:dyDescent="0.3">
      <c r="A64" s="7">
        <v>0.62</v>
      </c>
      <c r="B64" s="1">
        <v>192.93600000000001</v>
      </c>
      <c r="C64" s="1">
        <v>198.52500000000001</v>
      </c>
      <c r="D64" s="1">
        <v>193.066</v>
      </c>
      <c r="E64" s="1">
        <v>195.17599999999999</v>
      </c>
      <c r="F64" s="1">
        <v>195.92699999999999</v>
      </c>
      <c r="G64" s="1">
        <v>195.458</v>
      </c>
      <c r="H64" s="1">
        <v>204.29400000000001</v>
      </c>
      <c r="I64" s="8">
        <v>0.62</v>
      </c>
      <c r="K64" s="1"/>
    </row>
    <row r="65" spans="1:11" x14ac:dyDescent="0.3">
      <c r="A65" s="7">
        <v>0.63</v>
      </c>
      <c r="B65" s="1">
        <v>192.559</v>
      </c>
      <c r="C65" s="1">
        <v>198.149</v>
      </c>
      <c r="D65" s="1">
        <v>192.84800000000001</v>
      </c>
      <c r="E65" s="1">
        <v>194.34800000000001</v>
      </c>
      <c r="F65" s="1">
        <v>195.161</v>
      </c>
      <c r="G65" s="1">
        <v>194.73699999999999</v>
      </c>
      <c r="H65" s="1">
        <v>203.94200000000001</v>
      </c>
      <c r="I65" s="8">
        <v>0.63</v>
      </c>
      <c r="K65" s="1"/>
    </row>
    <row r="66" spans="1:11" x14ac:dyDescent="0.3">
      <c r="A66" s="7">
        <v>0.64</v>
      </c>
      <c r="B66" s="1">
        <v>192.13399999999999</v>
      </c>
      <c r="C66" s="1">
        <v>197.751</v>
      </c>
      <c r="D66" s="1">
        <v>192.59700000000001</v>
      </c>
      <c r="E66" s="1">
        <v>193.48500000000001</v>
      </c>
      <c r="F66" s="1">
        <v>194.34800000000001</v>
      </c>
      <c r="G66" s="1">
        <v>193.96700000000001</v>
      </c>
      <c r="H66" s="1">
        <v>203.55600000000001</v>
      </c>
      <c r="I66" s="8">
        <v>0.64</v>
      </c>
      <c r="K66" s="1"/>
    </row>
    <row r="67" spans="1:11" x14ac:dyDescent="0.3">
      <c r="A67" s="7">
        <v>0.65</v>
      </c>
      <c r="B67" s="1">
        <v>191.65700000000001</v>
      </c>
      <c r="C67" s="1">
        <v>197.334</v>
      </c>
      <c r="D67" s="1">
        <v>192.31100000000001</v>
      </c>
      <c r="E67" s="1">
        <v>192.59</v>
      </c>
      <c r="F67" s="1">
        <v>193.483</v>
      </c>
      <c r="G67" s="1">
        <v>193.14400000000001</v>
      </c>
      <c r="H67" s="1">
        <v>203.13300000000001</v>
      </c>
      <c r="I67" s="8">
        <v>0.65</v>
      </c>
      <c r="K67" s="1"/>
    </row>
    <row r="68" spans="1:11" x14ac:dyDescent="0.3">
      <c r="A68" s="7">
        <v>0.66</v>
      </c>
      <c r="B68" s="1">
        <v>191.12200000000001</v>
      </c>
      <c r="C68" s="1">
        <v>196.898</v>
      </c>
      <c r="D68" s="1">
        <v>191.98500000000001</v>
      </c>
      <c r="E68" s="1">
        <v>191.66300000000001</v>
      </c>
      <c r="F68" s="1">
        <v>192.566</v>
      </c>
      <c r="G68" s="1">
        <v>192.26599999999999</v>
      </c>
      <c r="H68" s="1">
        <v>202.672</v>
      </c>
      <c r="I68" s="8">
        <v>0.66</v>
      </c>
      <c r="K68" s="1"/>
    </row>
    <row r="69" spans="1:11" x14ac:dyDescent="0.3">
      <c r="A69" s="7">
        <v>0.67</v>
      </c>
      <c r="B69" s="1">
        <v>190.52699999999999</v>
      </c>
      <c r="C69" s="1">
        <v>196.44399999999999</v>
      </c>
      <c r="D69" s="1">
        <v>191.619</v>
      </c>
      <c r="E69" s="1">
        <v>190.70500000000001</v>
      </c>
      <c r="F69" s="1">
        <v>191.59299999999999</v>
      </c>
      <c r="G69" s="1">
        <v>191.328</v>
      </c>
      <c r="H69" s="1">
        <v>202.16900000000001</v>
      </c>
      <c r="I69" s="8">
        <v>0.67</v>
      </c>
      <c r="K69" s="1"/>
    </row>
    <row r="70" spans="1:11" x14ac:dyDescent="0.3">
      <c r="A70" s="7">
        <v>0.68</v>
      </c>
      <c r="B70" s="1">
        <v>189.86699999999999</v>
      </c>
      <c r="C70" s="1">
        <v>195.971</v>
      </c>
      <c r="D70" s="1">
        <v>191.21</v>
      </c>
      <c r="E70" s="1">
        <v>189.714</v>
      </c>
      <c r="F70" s="1">
        <v>190.56100000000001</v>
      </c>
      <c r="G70" s="1">
        <v>190.33</v>
      </c>
      <c r="H70" s="1">
        <v>201.62299999999999</v>
      </c>
      <c r="I70" s="8">
        <v>0.68</v>
      </c>
      <c r="K70" s="1"/>
    </row>
    <row r="71" spans="1:11" x14ac:dyDescent="0.3">
      <c r="A71" s="7">
        <v>0.69</v>
      </c>
      <c r="B71" s="1">
        <v>189.14</v>
      </c>
      <c r="C71" s="1">
        <v>195.477</v>
      </c>
      <c r="D71" s="1">
        <v>190.755</v>
      </c>
      <c r="E71" s="1">
        <v>188.68799999999999</v>
      </c>
      <c r="F71" s="1">
        <v>189.46899999999999</v>
      </c>
      <c r="G71" s="1">
        <v>189.267</v>
      </c>
      <c r="H71" s="1">
        <v>201.03200000000001</v>
      </c>
      <c r="I71" s="8">
        <v>0.69</v>
      </c>
      <c r="K71" s="1"/>
    </row>
    <row r="72" spans="1:11" x14ac:dyDescent="0.3">
      <c r="A72" s="7">
        <v>0.7</v>
      </c>
      <c r="B72" s="1">
        <v>188.345</v>
      </c>
      <c r="C72" s="1">
        <v>194.96</v>
      </c>
      <c r="D72" s="1">
        <v>190.25399999999999</v>
      </c>
      <c r="E72" s="1">
        <v>187.625</v>
      </c>
      <c r="F72" s="1">
        <v>188.31399999999999</v>
      </c>
      <c r="G72" s="1">
        <v>188.13900000000001</v>
      </c>
      <c r="H72" s="1">
        <v>200.39400000000001</v>
      </c>
      <c r="I72" s="8">
        <v>0.7</v>
      </c>
      <c r="K72" s="1"/>
    </row>
    <row r="73" spans="1:11" x14ac:dyDescent="0.3">
      <c r="A73" s="7">
        <v>0.71</v>
      </c>
      <c r="B73" s="1">
        <v>187.47900000000001</v>
      </c>
      <c r="C73" s="1">
        <v>194.41800000000001</v>
      </c>
      <c r="D73" s="1">
        <v>189.703</v>
      </c>
      <c r="E73" s="1">
        <v>186.52099999999999</v>
      </c>
      <c r="F73" s="1">
        <v>187.09399999999999</v>
      </c>
      <c r="G73" s="1">
        <v>186.94200000000001</v>
      </c>
      <c r="H73" s="1">
        <v>199.70699999999999</v>
      </c>
      <c r="I73" s="8">
        <v>0.71</v>
      </c>
      <c r="K73" s="1"/>
    </row>
    <row r="74" spans="1:11" x14ac:dyDescent="0.3">
      <c r="A74" s="7">
        <v>0.72</v>
      </c>
      <c r="B74" s="1">
        <v>186.542</v>
      </c>
      <c r="C74" s="1">
        <v>193.84800000000001</v>
      </c>
      <c r="D74" s="1">
        <v>189.102</v>
      </c>
      <c r="E74" s="1">
        <v>185.375</v>
      </c>
      <c r="F74" s="1">
        <v>185.80500000000001</v>
      </c>
      <c r="G74" s="1">
        <v>185.67400000000001</v>
      </c>
      <c r="H74" s="1">
        <v>198.96899999999999</v>
      </c>
      <c r="I74" s="8">
        <v>0.72</v>
      </c>
      <c r="K74" s="1"/>
    </row>
    <row r="75" spans="1:11" x14ac:dyDescent="0.3">
      <c r="A75" s="7">
        <v>0.73</v>
      </c>
      <c r="B75" s="1">
        <v>185.53200000000001</v>
      </c>
      <c r="C75" s="1">
        <v>193.24799999999999</v>
      </c>
      <c r="D75" s="1">
        <v>188.45</v>
      </c>
      <c r="E75" s="1">
        <v>184.18100000000001</v>
      </c>
      <c r="F75" s="1">
        <v>184.447</v>
      </c>
      <c r="G75" s="1">
        <v>184.334</v>
      </c>
      <c r="H75" s="1">
        <v>198.178</v>
      </c>
      <c r="I75" s="8">
        <v>0.73</v>
      </c>
      <c r="K75" s="1"/>
    </row>
    <row r="76" spans="1:11" x14ac:dyDescent="0.3">
      <c r="A76" s="7">
        <v>0.74</v>
      </c>
      <c r="B76" s="1">
        <v>184.44900000000001</v>
      </c>
      <c r="C76" s="1">
        <v>192.614</v>
      </c>
      <c r="D76" s="1">
        <v>187.744</v>
      </c>
      <c r="E76" s="1">
        <v>182.93700000000001</v>
      </c>
      <c r="F76" s="1">
        <v>183.01599999999999</v>
      </c>
      <c r="G76" s="1">
        <v>182.91900000000001</v>
      </c>
      <c r="H76" s="1">
        <v>197.33199999999999</v>
      </c>
      <c r="I76" s="8">
        <v>0.74</v>
      </c>
      <c r="K76" s="1"/>
    </row>
    <row r="77" spans="1:11" x14ac:dyDescent="0.3">
      <c r="A77" s="7">
        <v>0.75</v>
      </c>
      <c r="B77" s="1">
        <v>183.291</v>
      </c>
      <c r="C77" s="1">
        <v>191.94499999999999</v>
      </c>
      <c r="D77" s="1">
        <v>186.98400000000001</v>
      </c>
      <c r="E77" s="1">
        <v>181.63900000000001</v>
      </c>
      <c r="F77" s="1">
        <v>181.511</v>
      </c>
      <c r="G77" s="1">
        <v>181.428</v>
      </c>
      <c r="H77" s="1">
        <v>196.43</v>
      </c>
      <c r="I77" s="8">
        <v>0.75</v>
      </c>
      <c r="K77" s="1"/>
    </row>
    <row r="78" spans="1:11" x14ac:dyDescent="0.3">
      <c r="A78" s="7">
        <v>0.76</v>
      </c>
      <c r="B78" s="1">
        <v>182.05699999999999</v>
      </c>
      <c r="C78" s="1">
        <v>191.23599999999999</v>
      </c>
      <c r="D78" s="1">
        <v>186.167</v>
      </c>
      <c r="E78" s="1">
        <v>180.28399999999999</v>
      </c>
      <c r="F78" s="1">
        <v>179.929</v>
      </c>
      <c r="G78" s="1">
        <v>179.857</v>
      </c>
      <c r="H78" s="1">
        <v>195.47</v>
      </c>
      <c r="I78" s="8">
        <v>0.76</v>
      </c>
      <c r="K78" s="1"/>
    </row>
    <row r="79" spans="1:11" x14ac:dyDescent="0.3">
      <c r="A79" s="7">
        <v>0.77</v>
      </c>
      <c r="B79" s="1">
        <v>180.74600000000001</v>
      </c>
      <c r="C79" s="1">
        <v>190.48599999999999</v>
      </c>
      <c r="D79" s="1">
        <v>185.29300000000001</v>
      </c>
      <c r="E79" s="1">
        <v>178.869</v>
      </c>
      <c r="F79" s="1">
        <v>178.267</v>
      </c>
      <c r="G79" s="1">
        <v>178.20599999999999</v>
      </c>
      <c r="H79" s="1">
        <v>194.45</v>
      </c>
      <c r="I79" s="8">
        <v>0.77</v>
      </c>
      <c r="K79" s="1"/>
    </row>
    <row r="80" spans="1:11" x14ac:dyDescent="0.3">
      <c r="A80" s="7">
        <v>0.78</v>
      </c>
      <c r="B80" s="1">
        <v>179.357</v>
      </c>
      <c r="C80" s="1">
        <v>189.69200000000001</v>
      </c>
      <c r="D80" s="1">
        <v>184.36</v>
      </c>
      <c r="E80" s="1">
        <v>177.38900000000001</v>
      </c>
      <c r="F80" s="1">
        <v>176.523</v>
      </c>
      <c r="G80" s="1">
        <v>176.471</v>
      </c>
      <c r="H80" s="1">
        <v>193.36799999999999</v>
      </c>
      <c r="I80" s="8">
        <v>0.78</v>
      </c>
      <c r="K80" s="1"/>
    </row>
    <row r="81" spans="1:11" x14ac:dyDescent="0.3">
      <c r="A81" s="7">
        <v>0.79</v>
      </c>
      <c r="B81" s="1">
        <v>177.88800000000001</v>
      </c>
      <c r="C81" s="1">
        <v>188.852</v>
      </c>
      <c r="D81" s="1">
        <v>183.36600000000001</v>
      </c>
      <c r="E81" s="1">
        <v>175.84299999999999</v>
      </c>
      <c r="F81" s="1">
        <v>174.696</v>
      </c>
      <c r="G81" s="1">
        <v>174.65100000000001</v>
      </c>
      <c r="H81" s="1">
        <v>192.22300000000001</v>
      </c>
      <c r="I81" s="8">
        <v>0.79</v>
      </c>
      <c r="K81" s="1"/>
    </row>
    <row r="82" spans="1:11" x14ac:dyDescent="0.3">
      <c r="A82" s="7">
        <v>0.8</v>
      </c>
      <c r="B82" s="1">
        <v>176.33799999999999</v>
      </c>
      <c r="C82" s="1">
        <v>187.96199999999999</v>
      </c>
      <c r="D82" s="1">
        <v>182.31</v>
      </c>
      <c r="E82" s="1">
        <v>174.227</v>
      </c>
      <c r="F82" s="1">
        <v>172.78200000000001</v>
      </c>
      <c r="G82" s="1">
        <v>172.744</v>
      </c>
      <c r="H82" s="1">
        <v>191.012</v>
      </c>
      <c r="I82" s="8">
        <v>0.8</v>
      </c>
      <c r="K82" s="1"/>
    </row>
    <row r="83" spans="1:11" x14ac:dyDescent="0.3">
      <c r="A83" s="7">
        <v>0.81</v>
      </c>
      <c r="B83" s="1">
        <v>174.70599999999999</v>
      </c>
      <c r="C83" s="1">
        <v>187.02099999999999</v>
      </c>
      <c r="D83" s="1">
        <v>181.19</v>
      </c>
      <c r="E83" s="1">
        <v>172.53800000000001</v>
      </c>
      <c r="F83" s="1">
        <v>170.78</v>
      </c>
      <c r="G83" s="1">
        <v>170.74700000000001</v>
      </c>
      <c r="H83" s="1">
        <v>189.73400000000001</v>
      </c>
      <c r="I83" s="8">
        <v>0.81</v>
      </c>
      <c r="K83" s="1"/>
    </row>
    <row r="84" spans="1:11" x14ac:dyDescent="0.3">
      <c r="A84" s="7">
        <v>0.82</v>
      </c>
      <c r="B84" s="1">
        <v>172.99</v>
      </c>
      <c r="C84" s="1">
        <v>186.02600000000001</v>
      </c>
      <c r="D84" s="1">
        <v>180.005</v>
      </c>
      <c r="E84" s="1">
        <v>170.77199999999999</v>
      </c>
      <c r="F84" s="1">
        <v>168.68600000000001</v>
      </c>
      <c r="G84" s="1">
        <v>168.65799999999999</v>
      </c>
      <c r="H84" s="1">
        <v>188.387</v>
      </c>
      <c r="I84" s="8">
        <v>0.82</v>
      </c>
      <c r="K84" s="1"/>
    </row>
    <row r="85" spans="1:11" x14ac:dyDescent="0.3">
      <c r="A85" s="7">
        <v>0.83</v>
      </c>
      <c r="B85" s="1">
        <v>171.18799999999999</v>
      </c>
      <c r="C85" s="1">
        <v>184.976</v>
      </c>
      <c r="D85" s="1">
        <v>178.75299999999999</v>
      </c>
      <c r="E85" s="1">
        <v>168.929</v>
      </c>
      <c r="F85" s="1">
        <v>166.499</v>
      </c>
      <c r="G85" s="1">
        <v>166.47499999999999</v>
      </c>
      <c r="H85" s="1">
        <v>186.96899999999999</v>
      </c>
      <c r="I85" s="8">
        <v>0.83</v>
      </c>
      <c r="K85" s="1"/>
    </row>
    <row r="86" spans="1:11" x14ac:dyDescent="0.3">
      <c r="A86" s="7">
        <v>0.84</v>
      </c>
      <c r="B86" s="1">
        <v>169.298</v>
      </c>
      <c r="C86" s="1">
        <v>183.86699999999999</v>
      </c>
      <c r="D86" s="1">
        <v>177.43199999999999</v>
      </c>
      <c r="E86" s="1">
        <v>167.00299999999999</v>
      </c>
      <c r="F86" s="1">
        <v>164.21600000000001</v>
      </c>
      <c r="G86" s="1">
        <v>164.196</v>
      </c>
      <c r="H86" s="1">
        <v>185.477</v>
      </c>
      <c r="I86" s="8">
        <v>0.84</v>
      </c>
      <c r="K86" s="1"/>
    </row>
    <row r="87" spans="1:11" x14ac:dyDescent="0.3">
      <c r="A87" s="7">
        <v>0.85</v>
      </c>
      <c r="B87" s="1">
        <v>167.31899999999999</v>
      </c>
      <c r="C87" s="1">
        <v>182.69800000000001</v>
      </c>
      <c r="D87" s="1">
        <v>176.041</v>
      </c>
      <c r="E87" s="1">
        <v>164.994</v>
      </c>
      <c r="F87" s="1">
        <v>161.834</v>
      </c>
      <c r="G87" s="1">
        <v>161.81700000000001</v>
      </c>
      <c r="H87" s="1">
        <v>183.911</v>
      </c>
      <c r="I87" s="8">
        <v>0.85</v>
      </c>
      <c r="K87" s="1"/>
    </row>
    <row r="88" spans="1:11" x14ac:dyDescent="0.3">
      <c r="A88" s="7">
        <v>0.86</v>
      </c>
      <c r="B88" s="1">
        <v>165.249</v>
      </c>
      <c r="C88" s="1">
        <v>181.46600000000001</v>
      </c>
      <c r="D88" s="1">
        <v>174.577</v>
      </c>
      <c r="E88" s="1">
        <v>162.89699999999999</v>
      </c>
      <c r="F88" s="1">
        <v>159.351</v>
      </c>
      <c r="G88" s="1">
        <v>159.33699999999999</v>
      </c>
      <c r="H88" s="1">
        <v>182.268</v>
      </c>
      <c r="I88" s="8">
        <v>0.86</v>
      </c>
      <c r="K88" s="1"/>
    </row>
    <row r="89" spans="1:11" x14ac:dyDescent="0.3">
      <c r="A89" s="7">
        <v>0.87</v>
      </c>
      <c r="B89" s="1">
        <v>163.08500000000001</v>
      </c>
      <c r="C89" s="1">
        <v>180.17</v>
      </c>
      <c r="D89" s="1">
        <v>173.03899999999999</v>
      </c>
      <c r="E89" s="1">
        <v>160.71100000000001</v>
      </c>
      <c r="F89" s="1">
        <v>156.76499999999999</v>
      </c>
      <c r="G89" s="1">
        <v>156.75200000000001</v>
      </c>
      <c r="H89" s="1">
        <v>180.54499999999999</v>
      </c>
      <c r="I89" s="8">
        <v>0.87</v>
      </c>
      <c r="K89" s="1"/>
    </row>
    <row r="90" spans="1:11" x14ac:dyDescent="0.3">
      <c r="A90" s="7">
        <v>0.88</v>
      </c>
      <c r="B90" s="1">
        <v>160.82599999999999</v>
      </c>
      <c r="C90" s="1">
        <v>178.80699999999999</v>
      </c>
      <c r="D90" s="1">
        <v>171.42400000000001</v>
      </c>
      <c r="E90" s="1">
        <v>158.43299999999999</v>
      </c>
      <c r="F90" s="1">
        <v>154.072</v>
      </c>
      <c r="G90" s="1">
        <v>154.06200000000001</v>
      </c>
      <c r="H90" s="1">
        <v>178.74199999999999</v>
      </c>
      <c r="I90" s="8">
        <v>0.88</v>
      </c>
      <c r="K90" s="1"/>
    </row>
    <row r="91" spans="1:11" x14ac:dyDescent="0.3">
      <c r="A91" s="7">
        <v>0.89</v>
      </c>
      <c r="B91" s="1">
        <v>158.46899999999999</v>
      </c>
      <c r="C91" s="1">
        <v>177.376</v>
      </c>
      <c r="D91" s="1">
        <v>169.732</v>
      </c>
      <c r="E91" s="1">
        <v>156.06</v>
      </c>
      <c r="F91" s="1">
        <v>151.27099999999999</v>
      </c>
      <c r="G91" s="1">
        <v>151.262</v>
      </c>
      <c r="H91" s="1">
        <v>176.85499999999999</v>
      </c>
      <c r="I91" s="8">
        <v>0.89</v>
      </c>
      <c r="K91" s="1"/>
    </row>
    <row r="92" spans="1:11" x14ac:dyDescent="0.3">
      <c r="A92" s="7">
        <v>0.9</v>
      </c>
      <c r="B92" s="1">
        <v>156.012</v>
      </c>
      <c r="C92" s="1">
        <v>175.874</v>
      </c>
      <c r="D92" s="1">
        <v>167.96</v>
      </c>
      <c r="E92" s="1">
        <v>153.589</v>
      </c>
      <c r="F92" s="1">
        <v>148.358</v>
      </c>
      <c r="G92" s="1">
        <v>148.351</v>
      </c>
      <c r="H92" s="1">
        <v>174.88399999999999</v>
      </c>
      <c r="I92" s="8">
        <v>0.9</v>
      </c>
      <c r="K92" s="1"/>
    </row>
    <row r="93" spans="1:11" x14ac:dyDescent="0.3">
      <c r="A93" s="7">
        <v>0.91</v>
      </c>
      <c r="B93" s="1">
        <v>153.453</v>
      </c>
      <c r="C93" s="1">
        <v>174.3</v>
      </c>
      <c r="D93" s="1">
        <v>166.10599999999999</v>
      </c>
      <c r="E93" s="1">
        <v>151.018</v>
      </c>
      <c r="F93" s="1">
        <v>145.33099999999999</v>
      </c>
      <c r="G93" s="1">
        <v>145.32499999999999</v>
      </c>
      <c r="H93" s="1">
        <v>172.82499999999999</v>
      </c>
      <c r="I93" s="8">
        <v>0.91</v>
      </c>
      <c r="K93" s="1"/>
    </row>
    <row r="94" spans="1:11" x14ac:dyDescent="0.3">
      <c r="A94" s="7">
        <v>0.92</v>
      </c>
      <c r="B94" s="1">
        <v>150.78899999999999</v>
      </c>
      <c r="C94" s="1">
        <v>172.65100000000001</v>
      </c>
      <c r="D94" s="1">
        <v>164.16800000000001</v>
      </c>
      <c r="E94" s="1">
        <v>148.345</v>
      </c>
      <c r="F94" s="1">
        <v>142.18799999999999</v>
      </c>
      <c r="G94" s="1">
        <v>142.18199999999999</v>
      </c>
      <c r="H94" s="1">
        <v>170.67599999999999</v>
      </c>
      <c r="I94" s="8">
        <v>0.92</v>
      </c>
      <c r="K94" s="1"/>
    </row>
    <row r="95" spans="1:11" x14ac:dyDescent="0.3">
      <c r="A95" s="7">
        <v>0.93</v>
      </c>
      <c r="B95" s="1">
        <v>148.01900000000001</v>
      </c>
      <c r="C95" s="1">
        <v>170.92500000000001</v>
      </c>
      <c r="D95" s="1">
        <v>162.14400000000001</v>
      </c>
      <c r="E95" s="1">
        <v>145.566</v>
      </c>
      <c r="F95" s="1">
        <v>138.92400000000001</v>
      </c>
      <c r="G95" s="1">
        <v>138.91999999999999</v>
      </c>
      <c r="H95" s="1">
        <v>168.43600000000001</v>
      </c>
      <c r="I95" s="8">
        <v>0.93</v>
      </c>
      <c r="K95" s="1"/>
    </row>
    <row r="96" spans="1:11" x14ac:dyDescent="0.3">
      <c r="A96" s="7">
        <v>0.94</v>
      </c>
      <c r="B96" s="1">
        <v>145.13900000000001</v>
      </c>
      <c r="C96" s="1">
        <v>169.12</v>
      </c>
      <c r="D96" s="1">
        <v>160.03200000000001</v>
      </c>
      <c r="E96" s="1">
        <v>142.679</v>
      </c>
      <c r="F96" s="1">
        <v>135.53899999999999</v>
      </c>
      <c r="G96" s="1">
        <v>135.535</v>
      </c>
      <c r="H96" s="1">
        <v>166.102</v>
      </c>
      <c r="I96" s="8">
        <v>0.94</v>
      </c>
      <c r="K96" s="1"/>
    </row>
    <row r="97" spans="1:11" x14ac:dyDescent="0.3">
      <c r="A97" s="7">
        <v>0.95</v>
      </c>
      <c r="B97" s="1">
        <v>142.148</v>
      </c>
      <c r="C97" s="1">
        <v>167.23400000000001</v>
      </c>
      <c r="D97" s="1">
        <v>157.83000000000001</v>
      </c>
      <c r="E97" s="1">
        <v>139.68199999999999</v>
      </c>
      <c r="F97" s="1">
        <v>132.02799999999999</v>
      </c>
      <c r="G97" s="1">
        <v>132.02500000000001</v>
      </c>
      <c r="H97" s="1">
        <v>163.67099999999999</v>
      </c>
      <c r="I97" s="8">
        <v>0.95</v>
      </c>
      <c r="K97" s="1"/>
    </row>
    <row r="98" spans="1:11" x14ac:dyDescent="0.3">
      <c r="A98" s="7">
        <v>0.96</v>
      </c>
      <c r="B98" s="1">
        <v>139.042</v>
      </c>
      <c r="C98" s="1">
        <v>165.26499999999999</v>
      </c>
      <c r="D98" s="1">
        <v>155.535</v>
      </c>
      <c r="E98" s="1">
        <v>136.571</v>
      </c>
      <c r="F98" s="1">
        <v>128.38999999999999</v>
      </c>
      <c r="G98" s="1">
        <v>128.387</v>
      </c>
      <c r="H98" s="1">
        <v>161.143</v>
      </c>
      <c r="I98" s="8">
        <v>0.96</v>
      </c>
      <c r="K98" s="1"/>
    </row>
    <row r="99" spans="1:11" x14ac:dyDescent="0.3">
      <c r="A99" s="7">
        <v>0.97</v>
      </c>
      <c r="B99" s="1">
        <v>135.82</v>
      </c>
      <c r="C99" s="1">
        <v>163.21199999999999</v>
      </c>
      <c r="D99" s="1">
        <v>153.14599999999999</v>
      </c>
      <c r="E99" s="1">
        <v>133.345</v>
      </c>
      <c r="F99" s="1">
        <v>124.621</v>
      </c>
      <c r="G99" s="1">
        <v>124.61799999999999</v>
      </c>
      <c r="H99" s="1">
        <v>158.51400000000001</v>
      </c>
      <c r="I99" s="8">
        <v>0.97</v>
      </c>
      <c r="K99" s="1"/>
    </row>
    <row r="100" spans="1:11" x14ac:dyDescent="0.3">
      <c r="A100" s="7">
        <v>0.98</v>
      </c>
      <c r="B100" s="1">
        <v>132.47900000000001</v>
      </c>
      <c r="C100" s="1">
        <v>161.071</v>
      </c>
      <c r="D100" s="1">
        <v>150.661</v>
      </c>
      <c r="E100" s="1">
        <v>129.999</v>
      </c>
      <c r="F100" s="1">
        <v>120.718</v>
      </c>
      <c r="G100" s="1">
        <v>120.71599999999999</v>
      </c>
      <c r="H100" s="1">
        <v>155.78100000000001</v>
      </c>
      <c r="I100" s="8">
        <v>0.98</v>
      </c>
      <c r="K100" s="1"/>
    </row>
    <row r="101" spans="1:11" x14ac:dyDescent="0.3">
      <c r="A101" s="7">
        <v>0.99</v>
      </c>
      <c r="B101" s="1">
        <v>129.01499999999999</v>
      </c>
      <c r="C101" s="1">
        <v>158.84100000000001</v>
      </c>
      <c r="D101" s="1">
        <v>148.077</v>
      </c>
      <c r="E101" s="1">
        <v>126.533</v>
      </c>
      <c r="F101" s="1">
        <v>116.678</v>
      </c>
      <c r="G101" s="1">
        <v>116.676</v>
      </c>
      <c r="H101" s="1">
        <v>152.94399999999999</v>
      </c>
      <c r="I101" s="8">
        <v>0.99</v>
      </c>
      <c r="K101" s="1"/>
    </row>
    <row r="102" spans="1:11" x14ac:dyDescent="0.3">
      <c r="A102" s="7">
        <v>1</v>
      </c>
      <c r="B102" s="1">
        <v>125.42700000000001</v>
      </c>
      <c r="C102" s="1">
        <v>156.52000000000001</v>
      </c>
      <c r="D102" s="1">
        <v>145.392</v>
      </c>
      <c r="E102" s="1">
        <v>122.94199999999999</v>
      </c>
      <c r="F102" s="1">
        <v>112.499</v>
      </c>
      <c r="G102" s="1">
        <v>112.498</v>
      </c>
      <c r="H102" s="1">
        <v>149.999</v>
      </c>
      <c r="I102" s="8">
        <v>1</v>
      </c>
      <c r="K102" s="1"/>
    </row>
    <row r="103" spans="1:11" x14ac:dyDescent="0.3">
      <c r="D103" s="1"/>
      <c r="E103" s="1"/>
      <c r="F103" s="1"/>
      <c r="G103" s="1"/>
      <c r="H103" s="1"/>
      <c r="I103" s="1"/>
    </row>
    <row r="104" spans="1:11" x14ac:dyDescent="0.3">
      <c r="B104" s="1">
        <v>8</v>
      </c>
      <c r="C104" s="1">
        <v>7</v>
      </c>
      <c r="D104" s="1">
        <v>6</v>
      </c>
      <c r="E104" s="1">
        <v>5</v>
      </c>
      <c r="F104" s="1">
        <v>4</v>
      </c>
      <c r="G104" s="1">
        <v>3</v>
      </c>
      <c r="H104" s="1">
        <v>2</v>
      </c>
      <c r="I104" s="1"/>
    </row>
    <row r="105" spans="1:11" x14ac:dyDescent="0.3">
      <c r="B105" s="1">
        <f>MAX(B3:B102)</f>
        <v>197.84100000000001</v>
      </c>
      <c r="C105" s="1">
        <f t="shared" ref="C105:H105" si="0">MAX(C3:C102)</f>
        <v>200.261</v>
      </c>
      <c r="D105" s="1">
        <f t="shared" si="0"/>
        <v>194.11699999999999</v>
      </c>
      <c r="E105" s="1">
        <f t="shared" si="0"/>
        <v>200.94300000000001</v>
      </c>
      <c r="F105" s="1">
        <f t="shared" si="0"/>
        <v>203.56700000000001</v>
      </c>
      <c r="G105" s="1">
        <f t="shared" si="0"/>
        <v>203.15799999999999</v>
      </c>
      <c r="H105" s="1">
        <f t="shared" si="0"/>
        <v>206.48500000000001</v>
      </c>
      <c r="I105" s="1"/>
    </row>
    <row r="106" spans="1:11" x14ac:dyDescent="0.3">
      <c r="B106" s="8">
        <f>VLOOKUP(B105,B3:$I$102,B104,FALSE)</f>
        <v>0.35</v>
      </c>
      <c r="C106" s="8">
        <f>VLOOKUP(C105,C3:$I$102,C104,FALSE)</f>
        <v>0.53</v>
      </c>
      <c r="D106" s="8">
        <f>VLOOKUP(D105,D3:$I$102,D104,FALSE)</f>
        <v>0.5</v>
      </c>
      <c r="E106" s="8">
        <f>VLOOKUP(E105,E3:$I$102,E104,FALSE)</f>
        <v>0.48</v>
      </c>
      <c r="F106" s="8">
        <f>VLOOKUP(F105,F3:$I$102,F104,FALSE)</f>
        <v>0.38</v>
      </c>
      <c r="G106" s="8">
        <f>VLOOKUP(G105,G3:$I$102,G104,FALSE)</f>
        <v>0.36</v>
      </c>
      <c r="H106" s="8">
        <f>VLOOKUP(H105,H3:$I$102,H104,FALSE)</f>
        <v>0.48</v>
      </c>
      <c r="I10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2322-F204-4DA4-AB82-17E4EC4BA3C5}">
  <dimension ref="A1:AC106"/>
  <sheetViews>
    <sheetView topLeftCell="F35" zoomScale="55" zoomScaleNormal="55" workbookViewId="0">
      <selection activeCell="Z61" sqref="Z61:AC61"/>
    </sheetView>
  </sheetViews>
  <sheetFormatPr baseColWidth="10" defaultRowHeight="14.4" x14ac:dyDescent="0.3"/>
  <cols>
    <col min="1" max="1" width="11.5546875" style="7"/>
    <col min="2" max="7" width="21" style="1" bestFit="1" customWidth="1"/>
    <col min="8" max="8" width="22.109375" style="1" bestFit="1" customWidth="1"/>
    <col min="9" max="9" width="22.109375" bestFit="1" customWidth="1"/>
    <col min="10" max="13" width="22.109375" style="1" bestFit="1" customWidth="1"/>
    <col min="14" max="14" width="22.109375" bestFit="1" customWidth="1"/>
  </cols>
  <sheetData>
    <row r="1" spans="1:14" x14ac:dyDescent="0.3">
      <c r="B1" s="1" t="s">
        <v>41</v>
      </c>
      <c r="C1" s="1" t="s">
        <v>41</v>
      </c>
      <c r="D1" s="1" t="s">
        <v>41</v>
      </c>
      <c r="E1" s="1" t="s">
        <v>41</v>
      </c>
      <c r="F1" s="1" t="s">
        <v>41</v>
      </c>
      <c r="G1" s="1" t="s">
        <v>41</v>
      </c>
      <c r="H1" s="1" t="s">
        <v>41</v>
      </c>
      <c r="I1" s="1"/>
      <c r="J1" s="1" t="s">
        <v>42</v>
      </c>
      <c r="K1" s="1" t="s">
        <v>42</v>
      </c>
      <c r="L1" s="1" t="s">
        <v>42</v>
      </c>
      <c r="M1" s="1" t="s">
        <v>42</v>
      </c>
      <c r="N1" s="1"/>
    </row>
    <row r="2" spans="1:14" x14ac:dyDescent="0.3"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40</v>
      </c>
      <c r="I2" s="1"/>
      <c r="J2" s="4" t="s">
        <v>21</v>
      </c>
      <c r="K2" s="4" t="s">
        <v>22</v>
      </c>
      <c r="L2" s="4" t="s">
        <v>23</v>
      </c>
      <c r="M2" s="4" t="s">
        <v>24</v>
      </c>
      <c r="N2" s="1"/>
    </row>
    <row r="3" spans="1:14" x14ac:dyDescent="0.3">
      <c r="A3" s="7">
        <v>0.01</v>
      </c>
      <c r="B3" s="1">
        <v>1.2541199999999999</v>
      </c>
      <c r="C3" s="1">
        <v>0.56954700000000003</v>
      </c>
      <c r="D3" s="1">
        <v>0.83603899999999998</v>
      </c>
      <c r="E3" s="1">
        <v>0.89050399999999996</v>
      </c>
      <c r="F3" s="1">
        <v>1.26837</v>
      </c>
      <c r="G3" s="1">
        <v>1.30951</v>
      </c>
      <c r="H3" s="1">
        <v>0.89138799999999996</v>
      </c>
      <c r="I3" s="8">
        <v>0.01</v>
      </c>
      <c r="J3" s="1">
        <v>1.1931099999999999</v>
      </c>
      <c r="K3" s="1">
        <v>0.74693399999999999</v>
      </c>
      <c r="L3" s="1">
        <v>0.86062300000000003</v>
      </c>
      <c r="M3" s="1">
        <v>1.03843</v>
      </c>
    </row>
    <row r="4" spans="1:14" x14ac:dyDescent="0.3">
      <c r="A4" s="7">
        <v>0.02</v>
      </c>
      <c r="B4" s="1">
        <v>1.25743</v>
      </c>
      <c r="C4" s="1">
        <v>0.571183</v>
      </c>
      <c r="D4" s="1">
        <v>0.83835199999999999</v>
      </c>
      <c r="E4" s="1">
        <v>0.89300999999999997</v>
      </c>
      <c r="F4" s="1">
        <v>1.2717700000000001</v>
      </c>
      <c r="G4" s="1">
        <v>1.3129900000000001</v>
      </c>
      <c r="H4" s="1">
        <v>0.89385400000000004</v>
      </c>
      <c r="I4" s="8">
        <v>0.02</v>
      </c>
      <c r="J4" s="1">
        <v>1.19638</v>
      </c>
      <c r="K4" s="1">
        <v>0.74903600000000004</v>
      </c>
      <c r="L4" s="1">
        <v>0.86302699999999999</v>
      </c>
      <c r="M4" s="1">
        <v>1.04132</v>
      </c>
    </row>
    <row r="5" spans="1:14" x14ac:dyDescent="0.3">
      <c r="A5" s="7">
        <v>0.03</v>
      </c>
      <c r="B5" s="1">
        <v>1.2625599999999999</v>
      </c>
      <c r="C5" s="1">
        <v>0.57384800000000002</v>
      </c>
      <c r="D5" s="1">
        <v>0.84203799999999995</v>
      </c>
      <c r="E5" s="1">
        <v>0.89704600000000001</v>
      </c>
      <c r="F5" s="1">
        <v>1.27708</v>
      </c>
      <c r="G5" s="1">
        <v>1.3184100000000001</v>
      </c>
      <c r="H5" s="1">
        <v>0.89778500000000006</v>
      </c>
      <c r="I5" s="8">
        <v>0.03</v>
      </c>
      <c r="J5" s="1">
        <v>1.20157</v>
      </c>
      <c r="K5" s="1">
        <v>0.75242100000000001</v>
      </c>
      <c r="L5" s="1">
        <v>0.86687899999999996</v>
      </c>
      <c r="M5" s="1">
        <v>1.04593</v>
      </c>
    </row>
    <row r="6" spans="1:14" x14ac:dyDescent="0.3">
      <c r="A6" s="7">
        <v>0.04</v>
      </c>
      <c r="B6" s="1">
        <v>1.2692600000000001</v>
      </c>
      <c r="C6" s="1">
        <v>0.57750800000000002</v>
      </c>
      <c r="D6" s="1">
        <v>0.84699100000000005</v>
      </c>
      <c r="E6" s="1">
        <v>0.90252200000000005</v>
      </c>
      <c r="F6" s="1">
        <v>1.28409</v>
      </c>
      <c r="G6" s="1">
        <v>1.32552</v>
      </c>
      <c r="H6" s="1">
        <v>0.90306600000000004</v>
      </c>
      <c r="I6" s="8">
        <v>0.04</v>
      </c>
      <c r="J6" s="1">
        <v>1.20851</v>
      </c>
      <c r="K6" s="1">
        <v>0.75701399999999996</v>
      </c>
      <c r="L6" s="1">
        <v>0.872085</v>
      </c>
      <c r="M6" s="1">
        <v>1.05216</v>
      </c>
    </row>
    <row r="7" spans="1:14" x14ac:dyDescent="0.3">
      <c r="A7" s="7">
        <v>0.05</v>
      </c>
      <c r="B7" s="1">
        <v>1.27735</v>
      </c>
      <c r="C7" s="1">
        <v>0.58213599999999999</v>
      </c>
      <c r="D7" s="1">
        <v>0.85312600000000005</v>
      </c>
      <c r="E7" s="1">
        <v>0.90937000000000001</v>
      </c>
      <c r="F7" s="1">
        <v>1.29261</v>
      </c>
      <c r="G7" s="1">
        <v>1.3341400000000001</v>
      </c>
      <c r="H7" s="1">
        <v>0.90960700000000005</v>
      </c>
      <c r="I7" s="8">
        <v>0.05</v>
      </c>
      <c r="J7" s="1">
        <v>1.21705</v>
      </c>
      <c r="K7" s="1">
        <v>0.76275800000000005</v>
      </c>
      <c r="L7" s="1">
        <v>0.87856599999999996</v>
      </c>
      <c r="M7" s="1">
        <v>1.05989</v>
      </c>
    </row>
    <row r="8" spans="1:14" x14ac:dyDescent="0.3">
      <c r="A8" s="7">
        <v>0.06</v>
      </c>
      <c r="B8" s="1">
        <v>1.2866599999999999</v>
      </c>
      <c r="C8" s="1">
        <v>0.58771499999999999</v>
      </c>
      <c r="D8" s="1">
        <v>0.86037399999999997</v>
      </c>
      <c r="E8" s="1">
        <v>0.91753600000000002</v>
      </c>
      <c r="F8" s="1">
        <v>1.3025</v>
      </c>
      <c r="G8" s="1">
        <v>1.34409</v>
      </c>
      <c r="H8" s="1">
        <v>0.91733500000000001</v>
      </c>
      <c r="I8" s="8">
        <v>0.06</v>
      </c>
      <c r="J8" s="1">
        <v>1.2271000000000001</v>
      </c>
      <c r="K8" s="1">
        <v>0.76960700000000004</v>
      </c>
      <c r="L8" s="1">
        <v>0.88626199999999999</v>
      </c>
      <c r="M8" s="1">
        <v>1.0690599999999999</v>
      </c>
    </row>
    <row r="9" spans="1:14" x14ac:dyDescent="0.3">
      <c r="A9" s="7">
        <v>7.0000000000000007E-2</v>
      </c>
      <c r="B9" s="1">
        <v>1.2970600000000001</v>
      </c>
      <c r="C9" s="1">
        <v>0.59423599999999999</v>
      </c>
      <c r="D9" s="1">
        <v>0.86867899999999998</v>
      </c>
      <c r="E9" s="1">
        <v>0.92697799999999997</v>
      </c>
      <c r="F9" s="1">
        <v>1.31365</v>
      </c>
      <c r="G9" s="1">
        <v>1.3552599999999999</v>
      </c>
      <c r="H9" s="1">
        <v>0.92618999999999996</v>
      </c>
      <c r="I9" s="8">
        <v>7.0000000000000007E-2</v>
      </c>
      <c r="J9" s="1">
        <v>1.2385600000000001</v>
      </c>
      <c r="K9" s="1">
        <v>0.777528</v>
      </c>
      <c r="L9" s="1">
        <v>0.89512499999999995</v>
      </c>
      <c r="M9" s="1">
        <v>1.07959</v>
      </c>
    </row>
    <row r="10" spans="1:14" x14ac:dyDescent="0.3">
      <c r="A10" s="7">
        <v>0.08</v>
      </c>
      <c r="B10" s="1">
        <v>1.3084499999999999</v>
      </c>
      <c r="C10" s="1">
        <v>0.60169399999999995</v>
      </c>
      <c r="D10" s="1">
        <v>0.87799899999999997</v>
      </c>
      <c r="E10" s="1">
        <v>0.93766799999999995</v>
      </c>
      <c r="F10" s="1">
        <v>1.3259399999999999</v>
      </c>
      <c r="G10" s="1">
        <v>1.3675299999999999</v>
      </c>
      <c r="H10" s="1">
        <v>0.93612600000000001</v>
      </c>
      <c r="I10" s="8">
        <v>0.08</v>
      </c>
      <c r="J10" s="1">
        <v>1.25136</v>
      </c>
      <c r="K10" s="1">
        <v>0.78649400000000003</v>
      </c>
      <c r="L10" s="1">
        <v>0.90512000000000004</v>
      </c>
      <c r="M10" s="1">
        <v>1.09144</v>
      </c>
    </row>
    <row r="11" spans="1:14" x14ac:dyDescent="0.3">
      <c r="A11" s="7">
        <v>0.09</v>
      </c>
      <c r="B11" s="1">
        <v>1.3207199999999999</v>
      </c>
      <c r="C11" s="1">
        <v>0.610093</v>
      </c>
      <c r="D11" s="1">
        <v>0.88829499999999995</v>
      </c>
      <c r="E11" s="1">
        <v>0.94958299999999995</v>
      </c>
      <c r="F11" s="1">
        <v>1.3392999999999999</v>
      </c>
      <c r="G11" s="1">
        <v>1.3808100000000001</v>
      </c>
      <c r="H11" s="1">
        <v>0.94710499999999997</v>
      </c>
      <c r="I11" s="8">
        <v>0.09</v>
      </c>
      <c r="J11" s="1">
        <v>1.2654399999999999</v>
      </c>
      <c r="K11" s="1">
        <v>0.79648799999999997</v>
      </c>
      <c r="L11" s="1">
        <v>0.91621699999999995</v>
      </c>
      <c r="M11" s="1">
        <v>1.1045700000000001</v>
      </c>
    </row>
    <row r="12" spans="1:14" x14ac:dyDescent="0.3">
      <c r="A12" s="7">
        <v>0.1</v>
      </c>
      <c r="B12" s="1">
        <v>1.33379</v>
      </c>
      <c r="C12" s="1">
        <v>0.61944100000000002</v>
      </c>
      <c r="D12" s="1">
        <v>0.89954100000000004</v>
      </c>
      <c r="E12" s="1">
        <v>0.96270999999999995</v>
      </c>
      <c r="F12" s="1">
        <v>1.35365</v>
      </c>
      <c r="G12" s="1">
        <v>1.3950100000000001</v>
      </c>
      <c r="H12" s="1">
        <v>0.95909500000000003</v>
      </c>
      <c r="I12" s="8">
        <v>0.1</v>
      </c>
      <c r="J12" s="1">
        <v>1.2807500000000001</v>
      </c>
      <c r="K12" s="1">
        <v>0.80749899999999997</v>
      </c>
      <c r="L12" s="1">
        <v>0.92839499999999997</v>
      </c>
      <c r="M12" s="1">
        <v>1.1189499999999999</v>
      </c>
    </row>
    <row r="13" spans="1:14" x14ac:dyDescent="0.3">
      <c r="A13" s="7">
        <v>0.11</v>
      </c>
      <c r="B13" s="1">
        <v>1.3475999999999999</v>
      </c>
      <c r="C13" s="1">
        <v>0.62975000000000003</v>
      </c>
      <c r="D13" s="1">
        <v>0.91171100000000005</v>
      </c>
      <c r="E13" s="1">
        <v>0.97704000000000002</v>
      </c>
      <c r="F13" s="1">
        <v>1.3689100000000001</v>
      </c>
      <c r="G13" s="1">
        <v>1.4100600000000001</v>
      </c>
      <c r="H13" s="1">
        <v>0.97206999999999999</v>
      </c>
      <c r="I13" s="8">
        <v>0.11</v>
      </c>
      <c r="J13" s="1">
        <v>1.2972399999999999</v>
      </c>
      <c r="K13" s="1">
        <v>0.819519</v>
      </c>
      <c r="L13" s="1">
        <v>0.94163799999999998</v>
      </c>
      <c r="M13" s="1">
        <v>1.1345499999999999</v>
      </c>
    </row>
    <row r="14" spans="1:14" x14ac:dyDescent="0.3">
      <c r="A14" s="7">
        <v>0.12</v>
      </c>
      <c r="B14" s="1">
        <v>1.36205</v>
      </c>
      <c r="C14" s="1">
        <v>0.641038</v>
      </c>
      <c r="D14" s="1">
        <v>0.92478499999999997</v>
      </c>
      <c r="E14" s="1">
        <v>0.99257200000000001</v>
      </c>
      <c r="F14" s="1">
        <v>1.38504</v>
      </c>
      <c r="G14" s="1">
        <v>1.4258900000000001</v>
      </c>
      <c r="H14" s="1">
        <v>0.98601000000000005</v>
      </c>
      <c r="I14" s="8">
        <v>0.12</v>
      </c>
      <c r="J14" s="1">
        <v>1.31487</v>
      </c>
      <c r="K14" s="1">
        <v>0.83254700000000004</v>
      </c>
      <c r="L14" s="1">
        <v>0.95593499999999998</v>
      </c>
      <c r="M14" s="1">
        <v>1.1513599999999999</v>
      </c>
    </row>
    <row r="15" spans="1:14" x14ac:dyDescent="0.3">
      <c r="A15" s="7">
        <v>0.13</v>
      </c>
      <c r="B15" s="1">
        <v>1.3770899999999999</v>
      </c>
      <c r="C15" s="1">
        <v>0.65332500000000004</v>
      </c>
      <c r="D15" s="1">
        <v>0.93874599999999997</v>
      </c>
      <c r="E15" s="1">
        <v>1.0093000000000001</v>
      </c>
      <c r="F15" s="1">
        <v>1.4019600000000001</v>
      </c>
      <c r="G15" s="1">
        <v>1.4424300000000001</v>
      </c>
      <c r="H15" s="1">
        <v>1.0008900000000001</v>
      </c>
      <c r="I15" s="8">
        <v>0.13</v>
      </c>
      <c r="J15" s="1">
        <v>1.33361</v>
      </c>
      <c r="K15" s="1">
        <v>0.84658299999999997</v>
      </c>
      <c r="L15" s="1">
        <v>0.97127699999999995</v>
      </c>
      <c r="M15" s="1">
        <v>1.16937</v>
      </c>
    </row>
    <row r="16" spans="1:14" x14ac:dyDescent="0.3">
      <c r="A16" s="7">
        <v>0.14000000000000001</v>
      </c>
      <c r="B16" s="1">
        <v>1.3926499999999999</v>
      </c>
      <c r="C16" s="1">
        <v>0.66663700000000004</v>
      </c>
      <c r="D16" s="1">
        <v>0.95357800000000004</v>
      </c>
      <c r="E16" s="1">
        <v>1.0272399999999999</v>
      </c>
      <c r="F16" s="1">
        <v>1.4196200000000001</v>
      </c>
      <c r="G16" s="1">
        <v>1.4596100000000001</v>
      </c>
      <c r="H16" s="1">
        <v>1.01671</v>
      </c>
      <c r="I16" s="8">
        <v>0.14000000000000001</v>
      </c>
      <c r="J16" s="1">
        <v>1.3534299999999999</v>
      </c>
      <c r="K16" s="1">
        <v>0.86163000000000001</v>
      </c>
      <c r="L16" s="1">
        <v>0.98765899999999995</v>
      </c>
      <c r="M16" s="1">
        <v>1.18855</v>
      </c>
    </row>
    <row r="17" spans="1:13" x14ac:dyDescent="0.3">
      <c r="A17" s="7">
        <v>0.15</v>
      </c>
      <c r="B17" s="1">
        <v>1.40866</v>
      </c>
      <c r="C17" s="1">
        <v>0.68100099999999997</v>
      </c>
      <c r="D17" s="1">
        <v>0.96926400000000001</v>
      </c>
      <c r="E17" s="1">
        <v>1.0463899999999999</v>
      </c>
      <c r="F17" s="1">
        <v>1.4379500000000001</v>
      </c>
      <c r="G17" s="1">
        <v>1.4773700000000001</v>
      </c>
      <c r="H17" s="1">
        <v>1.0334300000000001</v>
      </c>
      <c r="I17" s="8">
        <v>0.15</v>
      </c>
      <c r="J17" s="1">
        <v>1.3742799999999999</v>
      </c>
      <c r="K17" s="1">
        <v>0.87769399999999997</v>
      </c>
      <c r="L17" s="1">
        <v>1.0050699999999999</v>
      </c>
      <c r="M17" s="1">
        <v>1.20889</v>
      </c>
    </row>
    <row r="18" spans="1:13" x14ac:dyDescent="0.3">
      <c r="A18" s="7">
        <v>0.16</v>
      </c>
      <c r="B18" s="1">
        <v>1.4250400000000001</v>
      </c>
      <c r="C18" s="1">
        <v>0.69644899999999998</v>
      </c>
      <c r="D18" s="1">
        <v>0.98579099999999997</v>
      </c>
      <c r="E18" s="1">
        <v>1.0667599999999999</v>
      </c>
      <c r="F18" s="1">
        <v>1.45689</v>
      </c>
      <c r="G18" s="1">
        <v>1.4956199999999999</v>
      </c>
      <c r="H18" s="1">
        <v>1.05105</v>
      </c>
      <c r="I18" s="8">
        <v>0.16</v>
      </c>
      <c r="J18" s="1">
        <v>1.3961399999999999</v>
      </c>
      <c r="K18" s="1">
        <v>0.89478100000000005</v>
      </c>
      <c r="L18" s="1">
        <v>1.02352</v>
      </c>
      <c r="M18" s="1">
        <v>1.2303900000000001</v>
      </c>
    </row>
    <row r="19" spans="1:13" x14ac:dyDescent="0.3">
      <c r="A19" s="7">
        <v>0.17</v>
      </c>
      <c r="B19" s="1">
        <v>1.4417199999999999</v>
      </c>
      <c r="C19" s="1">
        <v>0.71301499999999995</v>
      </c>
      <c r="D19" s="1">
        <v>1.0031399999999999</v>
      </c>
      <c r="E19" s="1">
        <v>1.08836</v>
      </c>
      <c r="F19" s="1">
        <v>1.4763900000000001</v>
      </c>
      <c r="G19" s="1">
        <v>1.5143</v>
      </c>
      <c r="H19" s="1">
        <v>1.06955</v>
      </c>
      <c r="I19" s="8">
        <v>0.17</v>
      </c>
      <c r="J19" s="1">
        <v>1.41896</v>
      </c>
      <c r="K19" s="1">
        <v>0.91289799999999999</v>
      </c>
      <c r="L19" s="1">
        <v>1.0429900000000001</v>
      </c>
      <c r="M19" s="1">
        <v>1.2530300000000001</v>
      </c>
    </row>
    <row r="20" spans="1:13" x14ac:dyDescent="0.3">
      <c r="A20" s="7">
        <v>0.18</v>
      </c>
      <c r="B20" s="1">
        <v>1.45861</v>
      </c>
      <c r="C20" s="1">
        <v>0.73073600000000005</v>
      </c>
      <c r="D20" s="1">
        <v>1.02129</v>
      </c>
      <c r="E20" s="1">
        <v>1.1111899999999999</v>
      </c>
      <c r="F20" s="1">
        <v>1.4963500000000001</v>
      </c>
      <c r="G20" s="1">
        <v>1.5333300000000001</v>
      </c>
      <c r="H20" s="1">
        <v>1.0889</v>
      </c>
      <c r="I20" s="8">
        <v>0.18</v>
      </c>
      <c r="J20" s="1">
        <v>1.4427000000000001</v>
      </c>
      <c r="K20" s="1">
        <v>0.93205300000000002</v>
      </c>
      <c r="L20" s="1">
        <v>1.06349</v>
      </c>
      <c r="M20" s="1">
        <v>1.2767999999999999</v>
      </c>
    </row>
    <row r="21" spans="1:13" x14ac:dyDescent="0.3">
      <c r="A21" s="7">
        <v>0.19</v>
      </c>
      <c r="B21" s="1">
        <v>1.47563</v>
      </c>
      <c r="C21" s="1">
        <v>0.74965300000000001</v>
      </c>
      <c r="D21" s="1">
        <v>1.04023</v>
      </c>
      <c r="E21" s="1">
        <v>1.13527</v>
      </c>
      <c r="F21" s="1">
        <v>1.51671</v>
      </c>
      <c r="G21" s="1">
        <v>1.5526199999999999</v>
      </c>
      <c r="H21" s="1">
        <v>1.1091</v>
      </c>
      <c r="I21" s="8">
        <v>0.19</v>
      </c>
      <c r="J21" s="1">
        <v>1.46733</v>
      </c>
      <c r="K21" s="1">
        <v>0.95225199999999999</v>
      </c>
      <c r="L21" s="1">
        <v>1.0849899999999999</v>
      </c>
      <c r="M21" s="1">
        <v>1.3016799999999999</v>
      </c>
    </row>
    <row r="22" spans="1:13" x14ac:dyDescent="0.3">
      <c r="A22" s="7">
        <v>0.2</v>
      </c>
      <c r="B22" s="1">
        <v>1.49268</v>
      </c>
      <c r="C22" s="1">
        <v>0.76980599999999999</v>
      </c>
      <c r="D22" s="1">
        <v>1.05993</v>
      </c>
      <c r="E22" s="1">
        <v>1.1606000000000001</v>
      </c>
      <c r="F22" s="1">
        <v>1.53738</v>
      </c>
      <c r="G22" s="1">
        <v>1.5720700000000001</v>
      </c>
      <c r="H22" s="1">
        <v>1.1301000000000001</v>
      </c>
      <c r="I22" s="8">
        <v>0.2</v>
      </c>
      <c r="J22" s="1">
        <v>1.49278</v>
      </c>
      <c r="K22" s="1">
        <v>0.97350199999999998</v>
      </c>
      <c r="L22" s="1">
        <v>1.10751</v>
      </c>
      <c r="M22" s="1">
        <v>1.32765</v>
      </c>
    </row>
    <row r="23" spans="1:13" x14ac:dyDescent="0.3">
      <c r="A23" s="7">
        <v>0.21</v>
      </c>
      <c r="B23" s="1">
        <v>1.50966</v>
      </c>
      <c r="C23" s="1">
        <v>0.79124000000000005</v>
      </c>
      <c r="D23" s="1">
        <v>1.08036</v>
      </c>
      <c r="E23" s="1">
        <v>1.1871799999999999</v>
      </c>
      <c r="F23" s="1">
        <v>1.55827</v>
      </c>
      <c r="G23" s="1">
        <v>1.59158</v>
      </c>
      <c r="H23" s="1">
        <v>1.15188</v>
      </c>
      <c r="I23" s="8">
        <v>0.21</v>
      </c>
      <c r="J23" s="1">
        <v>1.5189999999999999</v>
      </c>
      <c r="K23" s="1">
        <v>0.99580599999999997</v>
      </c>
      <c r="L23" s="1">
        <v>1.1310100000000001</v>
      </c>
      <c r="M23" s="1">
        <v>1.3546899999999999</v>
      </c>
    </row>
    <row r="24" spans="1:13" x14ac:dyDescent="0.3">
      <c r="A24" s="7">
        <v>0.22</v>
      </c>
      <c r="B24" s="1">
        <v>1.5264599999999999</v>
      </c>
      <c r="C24" s="1">
        <v>0.81400099999999997</v>
      </c>
      <c r="D24" s="1">
        <v>1.1014999999999999</v>
      </c>
      <c r="E24" s="1">
        <v>1.2150099999999999</v>
      </c>
      <c r="F24" s="1">
        <v>1.57927</v>
      </c>
      <c r="G24" s="1">
        <v>1.6110500000000001</v>
      </c>
      <c r="H24" s="1">
        <v>1.17441</v>
      </c>
      <c r="I24" s="8">
        <v>0.22</v>
      </c>
      <c r="J24" s="1">
        <v>1.54592</v>
      </c>
      <c r="K24" s="1">
        <v>1.0191699999999999</v>
      </c>
      <c r="L24" s="1">
        <v>1.1555</v>
      </c>
      <c r="M24" s="1">
        <v>1.3827700000000001</v>
      </c>
    </row>
    <row r="25" spans="1:13" x14ac:dyDescent="0.3">
      <c r="A25" s="7">
        <v>0.23</v>
      </c>
      <c r="B25" s="1">
        <v>1.54297</v>
      </c>
      <c r="C25" s="1">
        <v>0.83813599999999999</v>
      </c>
      <c r="D25" s="1">
        <v>1.1232899999999999</v>
      </c>
      <c r="E25" s="1">
        <v>1.2441</v>
      </c>
      <c r="F25" s="1">
        <v>1.60029</v>
      </c>
      <c r="G25" s="1">
        <v>1.6303399999999999</v>
      </c>
      <c r="H25" s="1">
        <v>1.19764</v>
      </c>
      <c r="I25" s="8">
        <v>0.23</v>
      </c>
      <c r="J25" s="1">
        <v>1.5734699999999999</v>
      </c>
      <c r="K25" s="1">
        <v>1.04358</v>
      </c>
      <c r="L25" s="1">
        <v>1.1809400000000001</v>
      </c>
      <c r="M25" s="1">
        <v>1.41184</v>
      </c>
    </row>
    <row r="26" spans="1:13" x14ac:dyDescent="0.3">
      <c r="A26" s="7">
        <v>0.24</v>
      </c>
      <c r="B26" s="1">
        <v>1.55905</v>
      </c>
      <c r="C26" s="1">
        <v>0.86369300000000004</v>
      </c>
      <c r="D26" s="1">
        <v>1.14571</v>
      </c>
      <c r="E26" s="1">
        <v>1.27444</v>
      </c>
      <c r="F26" s="1">
        <v>1.6211899999999999</v>
      </c>
      <c r="G26" s="1">
        <v>1.64934</v>
      </c>
      <c r="H26" s="1">
        <v>1.22153</v>
      </c>
      <c r="I26" s="8">
        <v>0.24</v>
      </c>
      <c r="J26" s="1">
        <v>1.6015600000000001</v>
      </c>
      <c r="K26" s="1">
        <v>1.0690500000000001</v>
      </c>
      <c r="L26" s="1">
        <v>1.2073100000000001</v>
      </c>
      <c r="M26" s="1">
        <v>1.44187</v>
      </c>
    </row>
    <row r="27" spans="1:13" x14ac:dyDescent="0.3">
      <c r="A27" s="7">
        <v>0.25</v>
      </c>
      <c r="B27" s="1">
        <v>1.5745800000000001</v>
      </c>
      <c r="C27" s="1">
        <v>0.89072200000000001</v>
      </c>
      <c r="D27" s="1">
        <v>1.1687000000000001</v>
      </c>
      <c r="E27" s="1">
        <v>1.306</v>
      </c>
      <c r="F27" s="1">
        <v>1.64185</v>
      </c>
      <c r="G27" s="1">
        <v>1.66791</v>
      </c>
      <c r="H27" s="1">
        <v>1.24603</v>
      </c>
      <c r="I27" s="8">
        <v>0.25</v>
      </c>
      <c r="J27" s="1">
        <v>1.63009</v>
      </c>
      <c r="K27" s="1">
        <v>1.09555</v>
      </c>
      <c r="L27" s="1">
        <v>1.23458</v>
      </c>
      <c r="M27" s="1">
        <v>1.47279</v>
      </c>
    </row>
    <row r="28" spans="1:13" x14ac:dyDescent="0.3">
      <c r="A28" s="7">
        <v>0.26</v>
      </c>
      <c r="B28" s="1">
        <v>1.58941</v>
      </c>
      <c r="C28" s="1">
        <v>0.91927199999999998</v>
      </c>
      <c r="D28" s="1">
        <v>1.1921999999999999</v>
      </c>
      <c r="E28" s="1">
        <v>1.3387800000000001</v>
      </c>
      <c r="F28" s="1">
        <v>1.66212</v>
      </c>
      <c r="G28" s="1">
        <v>1.6858900000000001</v>
      </c>
      <c r="H28" s="1">
        <v>1.27108</v>
      </c>
      <c r="I28" s="8">
        <v>0.26</v>
      </c>
      <c r="J28" s="1">
        <v>1.6589700000000001</v>
      </c>
      <c r="K28" s="1">
        <v>1.1230800000000001</v>
      </c>
      <c r="L28" s="1">
        <v>1.2626999999999999</v>
      </c>
      <c r="M28" s="1">
        <v>1.5045599999999999</v>
      </c>
    </row>
    <row r="29" spans="1:13" x14ac:dyDescent="0.3">
      <c r="A29" s="7">
        <v>0.27</v>
      </c>
      <c r="B29" s="1">
        <v>1.60338</v>
      </c>
      <c r="C29" s="1">
        <v>0.94938999999999996</v>
      </c>
      <c r="D29" s="1">
        <v>1.21614</v>
      </c>
      <c r="E29" s="1">
        <v>1.3727400000000001</v>
      </c>
      <c r="F29" s="1">
        <v>1.68187</v>
      </c>
      <c r="G29" s="1">
        <v>1.70312</v>
      </c>
      <c r="H29" s="1">
        <v>1.2965899999999999</v>
      </c>
      <c r="I29" s="8">
        <v>0.27</v>
      </c>
      <c r="J29" s="1">
        <v>1.6880599999999999</v>
      </c>
      <c r="K29" s="1">
        <v>1.1516200000000001</v>
      </c>
      <c r="L29" s="1">
        <v>1.2916399999999999</v>
      </c>
      <c r="M29" s="1">
        <v>1.5370900000000001</v>
      </c>
    </row>
    <row r="30" spans="1:13" x14ac:dyDescent="0.3">
      <c r="A30" s="7">
        <v>0.28000000000000003</v>
      </c>
      <c r="B30" s="1">
        <v>1.61635</v>
      </c>
      <c r="C30" s="1">
        <v>0.98112500000000002</v>
      </c>
      <c r="D30" s="1">
        <v>1.24047</v>
      </c>
      <c r="E30" s="1">
        <v>1.40784</v>
      </c>
      <c r="F30" s="1">
        <v>1.7009099999999999</v>
      </c>
      <c r="G30" s="1">
        <v>1.7194400000000001</v>
      </c>
      <c r="H30" s="1">
        <v>1.3225100000000001</v>
      </c>
      <c r="I30" s="8">
        <v>0.28000000000000003</v>
      </c>
      <c r="J30" s="1">
        <v>1.71723</v>
      </c>
      <c r="K30" s="1">
        <v>1.18113</v>
      </c>
      <c r="L30" s="1">
        <v>1.3213299999999999</v>
      </c>
      <c r="M30" s="1">
        <v>1.57029</v>
      </c>
    </row>
    <row r="31" spans="1:13" x14ac:dyDescent="0.3">
      <c r="A31" s="7">
        <v>0.28999999999999998</v>
      </c>
      <c r="B31" s="1">
        <v>1.6281399999999999</v>
      </c>
      <c r="C31" s="1">
        <v>1.0145200000000001</v>
      </c>
      <c r="D31" s="1">
        <v>1.26508</v>
      </c>
      <c r="E31" s="1">
        <v>1.4440299999999999</v>
      </c>
      <c r="F31" s="1">
        <v>1.71909</v>
      </c>
      <c r="G31" s="1">
        <v>1.7346699999999999</v>
      </c>
      <c r="H31" s="1">
        <v>1.3487199999999999</v>
      </c>
      <c r="I31" s="8">
        <v>0.28999999999999998</v>
      </c>
      <c r="J31" s="1">
        <v>1.7463200000000001</v>
      </c>
      <c r="K31" s="1">
        <v>1.2115800000000001</v>
      </c>
      <c r="L31" s="1">
        <v>1.3516999999999999</v>
      </c>
      <c r="M31" s="1">
        <v>1.6040700000000001</v>
      </c>
    </row>
    <row r="32" spans="1:13" x14ac:dyDescent="0.3">
      <c r="A32" s="13">
        <v>0.3</v>
      </c>
      <c r="B32" s="1">
        <v>1.63859</v>
      </c>
      <c r="C32" s="1">
        <v>1.04962</v>
      </c>
      <c r="D32" s="1">
        <v>1.2899</v>
      </c>
      <c r="E32" s="1">
        <v>1.48125</v>
      </c>
      <c r="F32" s="1">
        <v>1.73621</v>
      </c>
      <c r="G32" s="1">
        <v>1.74861</v>
      </c>
      <c r="H32" s="1">
        <v>1.37514</v>
      </c>
      <c r="I32" s="8">
        <v>0.3</v>
      </c>
      <c r="J32" s="1">
        <v>1.7751600000000001</v>
      </c>
      <c r="K32" s="1">
        <v>1.2429300000000001</v>
      </c>
      <c r="L32" s="1">
        <v>1.3826799999999999</v>
      </c>
      <c r="M32" s="1">
        <v>1.63829</v>
      </c>
    </row>
    <row r="33" spans="1:13" x14ac:dyDescent="0.3">
      <c r="A33" s="7">
        <v>0.31</v>
      </c>
      <c r="B33" s="1">
        <v>1.6475200000000001</v>
      </c>
      <c r="C33" s="1">
        <v>1.0864499999999999</v>
      </c>
      <c r="D33" s="1">
        <v>1.31481</v>
      </c>
      <c r="E33" s="1">
        <v>1.5194099999999999</v>
      </c>
      <c r="F33" s="1">
        <v>1.7520800000000001</v>
      </c>
      <c r="G33" s="1">
        <v>1.76109</v>
      </c>
      <c r="H33" s="1">
        <v>1.4016500000000001</v>
      </c>
      <c r="I33" s="8">
        <v>0.31</v>
      </c>
      <c r="J33" s="1">
        <v>1.8035699999999999</v>
      </c>
      <c r="K33" s="1">
        <v>1.27511</v>
      </c>
      <c r="L33" s="1">
        <v>1.4141699999999999</v>
      </c>
      <c r="M33" s="1">
        <v>1.67283</v>
      </c>
    </row>
    <row r="34" spans="1:13" x14ac:dyDescent="0.3">
      <c r="A34" s="7">
        <v>0.32</v>
      </c>
      <c r="B34" s="1">
        <v>1.65476</v>
      </c>
      <c r="C34" s="1">
        <v>1.1250500000000001</v>
      </c>
      <c r="D34" s="1">
        <v>1.33972</v>
      </c>
      <c r="E34" s="1">
        <v>1.55843</v>
      </c>
      <c r="F34" s="1">
        <v>1.7665</v>
      </c>
      <c r="G34" s="1">
        <v>1.7718799999999999</v>
      </c>
      <c r="H34" s="1">
        <v>1.4281299999999999</v>
      </c>
      <c r="I34" s="8">
        <v>0.32</v>
      </c>
      <c r="J34" s="1">
        <v>1.8313299999999999</v>
      </c>
      <c r="K34" s="1">
        <v>1.3080700000000001</v>
      </c>
      <c r="L34" s="1">
        <v>1.44607</v>
      </c>
      <c r="M34" s="1">
        <v>1.7075199999999999</v>
      </c>
    </row>
    <row r="35" spans="1:13" x14ac:dyDescent="0.3">
      <c r="A35" s="7">
        <v>0.33</v>
      </c>
      <c r="B35" s="1">
        <v>1.6601399999999999</v>
      </c>
      <c r="C35" s="1">
        <v>1.16544</v>
      </c>
      <c r="D35" s="1">
        <v>1.3644799999999999</v>
      </c>
      <c r="E35" s="1">
        <v>1.5981700000000001</v>
      </c>
      <c r="F35" s="1">
        <v>1.7792699999999999</v>
      </c>
      <c r="G35" s="1">
        <v>1.7807999999999999</v>
      </c>
      <c r="H35" s="1">
        <v>1.45444</v>
      </c>
      <c r="I35" s="8">
        <v>0.33</v>
      </c>
      <c r="J35" s="1">
        <v>1.8582000000000001</v>
      </c>
      <c r="K35" s="1">
        <v>1.34171</v>
      </c>
      <c r="L35" s="1">
        <v>1.4782500000000001</v>
      </c>
      <c r="M35" s="1">
        <v>1.7421800000000001</v>
      </c>
    </row>
    <row r="36" spans="1:13" ht="15" thickBot="1" x14ac:dyDescent="0.35">
      <c r="A36" s="7">
        <v>0.34</v>
      </c>
      <c r="B36" s="1">
        <v>1.6634800000000001</v>
      </c>
      <c r="C36" s="1">
        <v>1.2076199999999999</v>
      </c>
      <c r="D36" s="1">
        <v>1.3889800000000001</v>
      </c>
      <c r="E36" s="1">
        <v>1.6384799999999999</v>
      </c>
      <c r="F36" s="1">
        <v>1.7901499999999999</v>
      </c>
      <c r="G36" s="1">
        <v>1.78762</v>
      </c>
      <c r="H36" s="1">
        <v>1.48044</v>
      </c>
      <c r="I36" s="8">
        <v>0.34</v>
      </c>
      <c r="J36" s="1">
        <v>1.8839300000000001</v>
      </c>
      <c r="K36" s="1">
        <v>1.3759399999999999</v>
      </c>
      <c r="L36" s="1">
        <v>1.51058</v>
      </c>
      <c r="M36" s="1">
        <v>1.7766</v>
      </c>
    </row>
    <row r="37" spans="1:13" ht="15" thickBot="1" x14ac:dyDescent="0.35">
      <c r="A37" s="20">
        <v>0.35</v>
      </c>
      <c r="B37" s="19">
        <v>1.66462</v>
      </c>
      <c r="C37" s="1">
        <v>1.2515799999999999</v>
      </c>
      <c r="D37" s="1">
        <v>1.41307</v>
      </c>
      <c r="E37" s="1">
        <v>1.6792100000000001</v>
      </c>
      <c r="F37" s="1">
        <v>1.7989200000000001</v>
      </c>
      <c r="G37" s="1">
        <v>1.7921499999999999</v>
      </c>
      <c r="H37" s="1">
        <v>1.5059499999999999</v>
      </c>
      <c r="I37" s="8">
        <v>0.35</v>
      </c>
      <c r="J37" s="1">
        <v>1.90822</v>
      </c>
      <c r="K37" s="1">
        <v>1.4106399999999999</v>
      </c>
      <c r="L37" s="1">
        <v>1.5428900000000001</v>
      </c>
      <c r="M37" s="1">
        <v>1.81054</v>
      </c>
    </row>
    <row r="38" spans="1:13" x14ac:dyDescent="0.3">
      <c r="A38" s="7">
        <v>0.36</v>
      </c>
      <c r="B38" s="1">
        <v>1.6634199999999999</v>
      </c>
      <c r="C38" s="1">
        <v>1.2972999999999999</v>
      </c>
      <c r="D38" s="1">
        <v>1.43659</v>
      </c>
      <c r="E38" s="1">
        <v>1.7201200000000001</v>
      </c>
      <c r="F38" s="1">
        <v>1.8053699999999999</v>
      </c>
      <c r="G38" s="1">
        <v>1.79416</v>
      </c>
      <c r="H38" s="1">
        <v>1.5308200000000001</v>
      </c>
      <c r="I38" s="8">
        <v>0.36</v>
      </c>
      <c r="J38" s="1">
        <v>1.93075</v>
      </c>
      <c r="K38" s="1">
        <v>1.4456800000000001</v>
      </c>
      <c r="L38" s="1">
        <v>1.57501</v>
      </c>
      <c r="M38" s="1">
        <v>1.84371</v>
      </c>
    </row>
    <row r="39" spans="1:13" x14ac:dyDescent="0.3">
      <c r="A39" s="7">
        <v>0.37</v>
      </c>
      <c r="B39" s="1">
        <v>1.65974</v>
      </c>
      <c r="C39" s="1">
        <v>1.3447100000000001</v>
      </c>
      <c r="D39" s="1">
        <v>1.45939</v>
      </c>
      <c r="E39" s="1">
        <v>1.7609699999999999</v>
      </c>
      <c r="F39" s="1">
        <v>1.8092600000000001</v>
      </c>
      <c r="G39" s="1">
        <v>1.7934699999999999</v>
      </c>
      <c r="H39" s="1">
        <v>1.5548500000000001</v>
      </c>
      <c r="I39" s="8">
        <v>0.37</v>
      </c>
      <c r="J39" s="1">
        <v>1.9511799999999999</v>
      </c>
      <c r="K39" s="1">
        <v>1.4809099999999999</v>
      </c>
      <c r="L39" s="1">
        <v>1.60673</v>
      </c>
      <c r="M39" s="1">
        <v>1.8757999999999999</v>
      </c>
    </row>
    <row r="40" spans="1:13" x14ac:dyDescent="0.3">
      <c r="A40" s="7">
        <v>0.38</v>
      </c>
      <c r="B40" s="1">
        <v>1.6534500000000001</v>
      </c>
      <c r="C40" s="1">
        <v>1.3937200000000001</v>
      </c>
      <c r="D40" s="1">
        <v>1.4813099999999999</v>
      </c>
      <c r="E40" s="1">
        <v>1.8014699999999999</v>
      </c>
      <c r="F40" s="1">
        <v>1.81036</v>
      </c>
      <c r="G40" s="1">
        <v>1.7898799999999999</v>
      </c>
      <c r="H40" s="1">
        <v>1.5778399999999999</v>
      </c>
      <c r="I40" s="8">
        <v>0.38</v>
      </c>
      <c r="J40" s="1">
        <v>1.9691099999999999</v>
      </c>
      <c r="K40" s="1">
        <v>1.5161500000000001</v>
      </c>
      <c r="L40" s="1">
        <v>1.63784</v>
      </c>
      <c r="M40" s="1">
        <v>1.90645</v>
      </c>
    </row>
    <row r="41" spans="1:13" x14ac:dyDescent="0.3">
      <c r="A41" s="7">
        <v>0.39</v>
      </c>
      <c r="B41" s="1">
        <v>1.6444799999999999</v>
      </c>
      <c r="C41" s="1">
        <v>1.4442200000000001</v>
      </c>
      <c r="D41" s="1">
        <v>1.5021599999999999</v>
      </c>
      <c r="E41" s="1">
        <v>1.8412500000000001</v>
      </c>
      <c r="F41" s="1">
        <v>1.80846</v>
      </c>
      <c r="G41" s="1">
        <v>1.7831999999999999</v>
      </c>
      <c r="H41" s="1">
        <v>1.5995999999999999</v>
      </c>
      <c r="I41" s="8">
        <v>0.39</v>
      </c>
      <c r="J41" s="1">
        <v>1.98411</v>
      </c>
      <c r="K41" s="1">
        <v>1.55118</v>
      </c>
      <c r="L41" s="1">
        <v>1.6680699999999999</v>
      </c>
      <c r="M41" s="1">
        <v>1.9352400000000001</v>
      </c>
    </row>
    <row r="42" spans="1:13" x14ac:dyDescent="0.3">
      <c r="A42" s="7">
        <v>0.4</v>
      </c>
      <c r="B42" s="1">
        <v>1.6327700000000001</v>
      </c>
      <c r="C42" s="1">
        <v>1.4960100000000001</v>
      </c>
      <c r="D42" s="1">
        <v>1.52179</v>
      </c>
      <c r="E42" s="1">
        <v>1.8798999999999999</v>
      </c>
      <c r="F42" s="1">
        <v>1.80335</v>
      </c>
      <c r="G42" s="1">
        <v>1.77328</v>
      </c>
      <c r="H42" s="1">
        <v>1.6198999999999999</v>
      </c>
      <c r="I42" s="8">
        <v>0.4</v>
      </c>
      <c r="J42" s="1">
        <v>1.9957</v>
      </c>
      <c r="K42" s="1">
        <v>1.58578</v>
      </c>
      <c r="L42" s="1">
        <v>1.69716</v>
      </c>
      <c r="M42" s="1">
        <v>1.9617</v>
      </c>
    </row>
    <row r="43" spans="1:13" ht="15" thickBot="1" x14ac:dyDescent="0.35">
      <c r="A43" s="7">
        <v>0.41</v>
      </c>
      <c r="B43" s="1">
        <v>1.6183000000000001</v>
      </c>
      <c r="C43" s="1">
        <v>1.5488599999999999</v>
      </c>
      <c r="D43" s="1">
        <v>1.5400100000000001</v>
      </c>
      <c r="E43" s="1">
        <v>1.91692</v>
      </c>
      <c r="F43" s="1">
        <v>1.7948200000000001</v>
      </c>
      <c r="G43" s="1">
        <v>1.75997</v>
      </c>
      <c r="H43" s="1">
        <v>1.63852</v>
      </c>
      <c r="I43" s="8">
        <v>0.41</v>
      </c>
      <c r="J43" s="1">
        <v>2.0033599999999998</v>
      </c>
      <c r="K43" s="1">
        <v>1.6196699999999999</v>
      </c>
      <c r="L43" s="1">
        <v>1.72478</v>
      </c>
      <c r="M43" s="1">
        <v>1.9853000000000001</v>
      </c>
    </row>
    <row r="44" spans="1:13" ht="15" thickBot="1" x14ac:dyDescent="0.35">
      <c r="A44" s="7">
        <v>0.42</v>
      </c>
      <c r="B44" s="1">
        <v>1.6011</v>
      </c>
      <c r="C44" s="1">
        <v>1.6024400000000001</v>
      </c>
      <c r="D44" s="1">
        <v>1.5566599999999999</v>
      </c>
      <c r="E44" s="1">
        <v>1.95174</v>
      </c>
      <c r="F44" s="1">
        <v>1.7827</v>
      </c>
      <c r="G44" s="1">
        <v>1.7431700000000001</v>
      </c>
      <c r="H44" s="1">
        <v>1.65523</v>
      </c>
      <c r="I44" s="10">
        <v>0.42</v>
      </c>
      <c r="J44" s="19">
        <v>2.0065200000000001</v>
      </c>
      <c r="K44" s="1">
        <v>1.65256</v>
      </c>
      <c r="L44" s="1">
        <v>1.7505999999999999</v>
      </c>
      <c r="M44" s="1">
        <v>2.00542</v>
      </c>
    </row>
    <row r="45" spans="1:13" x14ac:dyDescent="0.3">
      <c r="A45" s="7">
        <v>0.43</v>
      </c>
      <c r="B45" s="1">
        <v>1.5812600000000001</v>
      </c>
      <c r="C45" s="1">
        <v>1.6563399999999999</v>
      </c>
      <c r="D45" s="1">
        <v>1.57159</v>
      </c>
      <c r="E45" s="1">
        <v>1.98367</v>
      </c>
      <c r="F45" s="1">
        <v>1.7668299999999999</v>
      </c>
      <c r="G45" s="1">
        <v>1.72279</v>
      </c>
      <c r="H45" s="1">
        <v>1.6698200000000001</v>
      </c>
      <c r="I45" s="8">
        <v>0.43</v>
      </c>
      <c r="J45" s="1">
        <v>2.0045500000000001</v>
      </c>
      <c r="K45" s="1">
        <v>1.6840999999999999</v>
      </c>
      <c r="L45" s="1">
        <v>1.77423</v>
      </c>
      <c r="M45" s="1">
        <v>2.0213899999999998</v>
      </c>
    </row>
    <row r="46" spans="1:13" ht="15" thickBot="1" x14ac:dyDescent="0.35">
      <c r="A46" s="7">
        <v>0.44</v>
      </c>
      <c r="B46" s="1">
        <v>1.5589</v>
      </c>
      <c r="C46" s="1">
        <v>1.7100500000000001</v>
      </c>
      <c r="D46" s="1">
        <v>1.58464</v>
      </c>
      <c r="E46" s="1">
        <v>2.0119600000000002</v>
      </c>
      <c r="F46" s="1">
        <v>1.7470699999999999</v>
      </c>
      <c r="G46" s="1">
        <v>1.6988000000000001</v>
      </c>
      <c r="H46" s="1">
        <v>1.68205</v>
      </c>
      <c r="I46" s="8">
        <v>0.44</v>
      </c>
      <c r="J46" s="1">
        <v>1.9967900000000001</v>
      </c>
      <c r="K46" s="1">
        <v>1.71391</v>
      </c>
      <c r="L46" s="1">
        <v>1.79528</v>
      </c>
      <c r="M46" s="1">
        <v>2.0324399999999998</v>
      </c>
    </row>
    <row r="47" spans="1:13" ht="15" thickBot="1" x14ac:dyDescent="0.35">
      <c r="A47" s="7">
        <v>0.45</v>
      </c>
      <c r="B47" s="1">
        <v>1.5342199999999999</v>
      </c>
      <c r="C47" s="1">
        <v>1.76292</v>
      </c>
      <c r="D47" s="1">
        <v>1.5956999999999999</v>
      </c>
      <c r="E47" s="1">
        <v>2.03572</v>
      </c>
      <c r="F47" s="1">
        <v>1.7233400000000001</v>
      </c>
      <c r="G47" s="1">
        <v>1.6712</v>
      </c>
      <c r="H47" s="1">
        <v>1.6917</v>
      </c>
      <c r="I47" s="10">
        <v>0.45</v>
      </c>
      <c r="J47" s="11">
        <v>1.98255</v>
      </c>
      <c r="K47" s="11">
        <v>1.7415799999999999</v>
      </c>
      <c r="L47" s="11">
        <v>1.8132999999999999</v>
      </c>
      <c r="M47" s="19">
        <v>2.0377399999999999</v>
      </c>
    </row>
    <row r="48" spans="1:13" x14ac:dyDescent="0.3">
      <c r="A48" s="7">
        <v>0.46</v>
      </c>
      <c r="B48" s="1">
        <v>1.5074799999999999</v>
      </c>
      <c r="C48" s="1">
        <v>1.81419</v>
      </c>
      <c r="D48" s="1">
        <v>1.60466</v>
      </c>
      <c r="E48" s="1">
        <v>2.0539800000000001</v>
      </c>
      <c r="F48" s="1">
        <v>1.6955800000000001</v>
      </c>
      <c r="G48" s="1">
        <v>1.6400300000000001</v>
      </c>
      <c r="H48" s="1">
        <v>1.69859</v>
      </c>
      <c r="I48" s="8">
        <v>0.46</v>
      </c>
      <c r="J48" s="1">
        <v>1.9611000000000001</v>
      </c>
      <c r="K48" s="1">
        <v>1.7666500000000001</v>
      </c>
      <c r="L48" s="1">
        <v>1.82782</v>
      </c>
      <c r="M48" s="1">
        <v>2.0363899999999999</v>
      </c>
    </row>
    <row r="49" spans="1:29" ht="15" thickBot="1" x14ac:dyDescent="0.35">
      <c r="A49" s="7">
        <v>0.47</v>
      </c>
      <c r="B49" s="1">
        <v>1.47899</v>
      </c>
      <c r="C49" s="1">
        <v>1.86293</v>
      </c>
      <c r="D49" s="1">
        <v>1.6114599999999999</v>
      </c>
      <c r="E49" s="1">
        <v>2.06568</v>
      </c>
      <c r="F49" s="1">
        <v>1.66377</v>
      </c>
      <c r="G49" s="1">
        <v>1.6053900000000001</v>
      </c>
      <c r="H49" s="1">
        <v>1.70251</v>
      </c>
      <c r="I49" s="8">
        <v>0.47</v>
      </c>
      <c r="J49" s="1">
        <v>1.93174</v>
      </c>
      <c r="K49" s="1">
        <v>1.7886299999999999</v>
      </c>
      <c r="L49" s="1">
        <v>1.83836</v>
      </c>
      <c r="M49" s="1">
        <v>2.0274800000000002</v>
      </c>
    </row>
    <row r="50" spans="1:29" ht="15" thickBot="1" x14ac:dyDescent="0.35">
      <c r="A50" s="20">
        <v>0.48</v>
      </c>
      <c r="B50" s="11">
        <v>1.4491099999999999</v>
      </c>
      <c r="C50" s="11">
        <v>1.90811</v>
      </c>
      <c r="D50" s="11">
        <v>1.6160699999999999</v>
      </c>
      <c r="E50" s="19">
        <v>2.06969</v>
      </c>
      <c r="F50" s="1">
        <v>1.62795</v>
      </c>
      <c r="G50" s="1">
        <v>1.5674300000000001</v>
      </c>
      <c r="H50" s="1">
        <v>1.7033199999999999</v>
      </c>
      <c r="I50" s="12">
        <v>0.48</v>
      </c>
      <c r="J50" s="1">
        <v>1.8938200000000001</v>
      </c>
      <c r="K50" s="1">
        <v>1.80701</v>
      </c>
      <c r="L50" s="1">
        <v>1.84443</v>
      </c>
      <c r="M50" s="1">
        <v>2.0100699999999998</v>
      </c>
    </row>
    <row r="51" spans="1:29" ht="15" thickBot="1" x14ac:dyDescent="0.35">
      <c r="A51" s="7">
        <v>0.49</v>
      </c>
      <c r="B51" s="1">
        <v>1.4182399999999999</v>
      </c>
      <c r="C51" s="1">
        <v>1.94855</v>
      </c>
      <c r="D51" s="1">
        <v>1.6184799999999999</v>
      </c>
      <c r="E51" s="1">
        <v>2.0649099999999998</v>
      </c>
      <c r="F51" s="1">
        <v>1.58822</v>
      </c>
      <c r="G51" s="1">
        <v>1.5263500000000001</v>
      </c>
      <c r="H51" s="1">
        <v>1.7008799999999999</v>
      </c>
      <c r="I51" s="10">
        <v>0.49</v>
      </c>
      <c r="J51" s="11">
        <v>1.8468199999999999</v>
      </c>
      <c r="K51" s="11">
        <v>1.82125</v>
      </c>
      <c r="L51" s="19">
        <v>1.8455299999999999</v>
      </c>
      <c r="M51" s="1">
        <v>1.9832799999999999</v>
      </c>
    </row>
    <row r="52" spans="1:29" ht="15" thickBot="1" x14ac:dyDescent="0.35">
      <c r="A52" s="20">
        <v>0.5</v>
      </c>
      <c r="B52" s="11">
        <v>1.3868</v>
      </c>
      <c r="C52" s="11">
        <v>1.98302</v>
      </c>
      <c r="D52" s="19">
        <v>1.6187199999999999</v>
      </c>
      <c r="E52" s="1">
        <v>2.0502600000000002</v>
      </c>
      <c r="F52" s="1">
        <v>1.5447299999999999</v>
      </c>
      <c r="G52" s="1">
        <v>1.4823900000000001</v>
      </c>
      <c r="H52" s="1">
        <v>1.6951000000000001</v>
      </c>
      <c r="I52" s="8">
        <v>0.5</v>
      </c>
      <c r="J52" s="1">
        <v>1.7903800000000001</v>
      </c>
      <c r="K52" s="1">
        <v>1.83084</v>
      </c>
      <c r="L52" s="1">
        <v>1.84121</v>
      </c>
      <c r="M52" s="1">
        <v>1.9463900000000001</v>
      </c>
      <c r="Y52" s="23"/>
      <c r="Z52" s="23"/>
      <c r="AA52" s="23"/>
      <c r="AB52" s="23"/>
      <c r="AC52" s="23"/>
    </row>
    <row r="53" spans="1:29" ht="15" thickBot="1" x14ac:dyDescent="0.35">
      <c r="A53" s="7">
        <v>0.51</v>
      </c>
      <c r="B53" s="1">
        <v>1.3552</v>
      </c>
      <c r="C53" s="1">
        <v>2.0102500000000001</v>
      </c>
      <c r="D53" s="1">
        <v>1.61686</v>
      </c>
      <c r="E53" s="1">
        <v>2.02488</v>
      </c>
      <c r="F53" s="1">
        <v>1.4976799999999999</v>
      </c>
      <c r="G53" s="1">
        <v>1.43581</v>
      </c>
      <c r="H53" s="1">
        <v>1.68591</v>
      </c>
      <c r="I53" s="10">
        <v>0.51</v>
      </c>
      <c r="J53" s="11">
        <v>1.72441</v>
      </c>
      <c r="K53" s="19">
        <v>1.8352999999999999</v>
      </c>
      <c r="L53" s="1">
        <v>1.83108</v>
      </c>
      <c r="M53" s="1">
        <v>1.89889</v>
      </c>
      <c r="Y53" s="23"/>
      <c r="Z53" s="23"/>
      <c r="AA53" s="23"/>
      <c r="AB53" s="23"/>
      <c r="AC53" s="23"/>
    </row>
    <row r="54" spans="1:29" ht="15" thickBot="1" x14ac:dyDescent="0.35">
      <c r="A54" s="7">
        <v>0.52</v>
      </c>
      <c r="B54" s="1">
        <v>1.3238099999999999</v>
      </c>
      <c r="C54" s="1">
        <v>2.0290599999999999</v>
      </c>
      <c r="D54" s="1">
        <v>1.61297</v>
      </c>
      <c r="E54" s="1">
        <v>1.9881200000000001</v>
      </c>
      <c r="F54" s="1">
        <v>1.4473499999999999</v>
      </c>
      <c r="G54" s="1">
        <v>1.38693</v>
      </c>
      <c r="H54" s="1">
        <v>1.6733100000000001</v>
      </c>
      <c r="I54" s="8">
        <v>0.52</v>
      </c>
      <c r="J54" s="1">
        <v>1.6491800000000001</v>
      </c>
      <c r="K54" s="1">
        <v>1.83422</v>
      </c>
      <c r="L54" s="1">
        <v>1.8148299999999999</v>
      </c>
      <c r="M54" s="1">
        <v>1.8405899999999999</v>
      </c>
      <c r="Y54" s="23"/>
      <c r="Z54" s="23"/>
      <c r="AA54" s="23"/>
      <c r="AB54" s="23"/>
      <c r="AC54" s="23"/>
    </row>
    <row r="55" spans="1:29" ht="15" thickBot="1" x14ac:dyDescent="0.35">
      <c r="A55" s="20">
        <v>0.53</v>
      </c>
      <c r="B55" s="11">
        <v>1.2929200000000001</v>
      </c>
      <c r="C55" s="19">
        <v>2.0384500000000001</v>
      </c>
      <c r="D55" s="1">
        <v>1.6071299999999999</v>
      </c>
      <c r="E55" s="1">
        <v>1.9397599999999999</v>
      </c>
      <c r="F55" s="1">
        <v>1.3940300000000001</v>
      </c>
      <c r="G55" s="1">
        <v>1.33606</v>
      </c>
      <c r="H55" s="1">
        <v>1.6572899999999999</v>
      </c>
      <c r="I55" s="8">
        <v>0.53</v>
      </c>
      <c r="J55" s="1">
        <v>1.56534</v>
      </c>
      <c r="K55" s="1">
        <v>1.8272699999999999</v>
      </c>
      <c r="L55" s="1">
        <v>1.7922899999999999</v>
      </c>
      <c r="M55" s="1">
        <v>1.77172</v>
      </c>
      <c r="Y55" s="23"/>
      <c r="Z55" s="24"/>
      <c r="AA55" s="24"/>
      <c r="AB55" s="24"/>
      <c r="AC55" s="24"/>
    </row>
    <row r="56" spans="1:29" x14ac:dyDescent="0.3">
      <c r="A56" s="7">
        <v>0.54</v>
      </c>
      <c r="B56" s="1">
        <v>1.2627200000000001</v>
      </c>
      <c r="C56" s="1">
        <v>2.0377100000000001</v>
      </c>
      <c r="D56" s="1">
        <v>1.59938</v>
      </c>
      <c r="E56" s="1">
        <v>1.88002</v>
      </c>
      <c r="F56" s="1">
        <v>1.33809</v>
      </c>
      <c r="G56" s="1">
        <v>1.28349</v>
      </c>
      <c r="H56" s="1">
        <v>1.6378900000000001</v>
      </c>
      <c r="I56" s="8">
        <v>0.54</v>
      </c>
      <c r="J56" s="1">
        <v>1.47401</v>
      </c>
      <c r="K56" s="1">
        <v>1.81427</v>
      </c>
      <c r="L56" s="1">
        <v>1.76342</v>
      </c>
      <c r="M56" s="1">
        <v>1.6930000000000001</v>
      </c>
      <c r="Y56" s="24"/>
      <c r="Z56" s="24"/>
      <c r="AA56" s="24"/>
      <c r="AB56" s="24"/>
      <c r="AC56" s="24"/>
    </row>
    <row r="57" spans="1:29" x14ac:dyDescent="0.3">
      <c r="A57" s="7">
        <v>0.55000000000000004</v>
      </c>
      <c r="B57" s="1">
        <v>1.23323</v>
      </c>
      <c r="C57" s="1">
        <v>2.0265</v>
      </c>
      <c r="D57" s="1">
        <v>1.58975</v>
      </c>
      <c r="E57" s="1">
        <v>1.80966</v>
      </c>
      <c r="F57" s="1">
        <v>1.2799199999999999</v>
      </c>
      <c r="G57" s="1">
        <v>1.2295199999999999</v>
      </c>
      <c r="H57" s="1">
        <v>1.6151800000000001</v>
      </c>
      <c r="I57" s="8">
        <v>0.55000000000000004</v>
      </c>
      <c r="J57" s="1">
        <v>1.37669</v>
      </c>
      <c r="K57" s="1">
        <v>1.79518</v>
      </c>
      <c r="L57" s="1">
        <v>1.72837</v>
      </c>
      <c r="M57" s="1">
        <v>1.6056299999999999</v>
      </c>
      <c r="Y57" s="24"/>
      <c r="Z57" s="24"/>
      <c r="AA57" s="24"/>
      <c r="AB57" s="24"/>
      <c r="AC57" s="24"/>
    </row>
    <row r="58" spans="1:29" x14ac:dyDescent="0.3">
      <c r="A58" s="7">
        <v>0.56000000000000005</v>
      </c>
      <c r="B58" s="1">
        <v>1.20434</v>
      </c>
      <c r="C58" s="1">
        <v>2.0049700000000001</v>
      </c>
      <c r="D58" s="1">
        <v>1.57819</v>
      </c>
      <c r="E58" s="1">
        <v>1.7299599999999999</v>
      </c>
      <c r="F58" s="1">
        <v>1.2199</v>
      </c>
      <c r="G58" s="1">
        <v>1.1744000000000001</v>
      </c>
      <c r="H58" s="1">
        <v>1.58921</v>
      </c>
      <c r="I58" s="8">
        <v>0.56000000000000005</v>
      </c>
      <c r="J58" s="1">
        <v>1.2752399999999999</v>
      </c>
      <c r="K58" s="1">
        <v>1.77014</v>
      </c>
      <c r="L58" s="1">
        <v>1.6874499999999999</v>
      </c>
      <c r="M58" s="1">
        <v>1.51126</v>
      </c>
      <c r="Y58" s="24"/>
      <c r="Z58" s="24"/>
      <c r="AA58" s="24"/>
      <c r="AB58" s="24"/>
      <c r="AC58" s="24"/>
    </row>
    <row r="59" spans="1:29" x14ac:dyDescent="0.3">
      <c r="A59" s="7">
        <v>0.56999999999999995</v>
      </c>
      <c r="B59" s="1">
        <v>1.1757500000000001</v>
      </c>
      <c r="C59" s="1">
        <v>1.9736899999999999</v>
      </c>
      <c r="D59" s="1">
        <v>1.5645899999999999</v>
      </c>
      <c r="E59" s="1">
        <v>1.6426400000000001</v>
      </c>
      <c r="F59" s="1">
        <v>1.15845</v>
      </c>
      <c r="G59" s="1">
        <v>1.1183700000000001</v>
      </c>
      <c r="H59" s="1">
        <v>1.5600499999999999</v>
      </c>
      <c r="I59" s="8">
        <v>0.56999999999999995</v>
      </c>
      <c r="J59" s="1">
        <v>1.1717200000000001</v>
      </c>
      <c r="K59" s="1">
        <v>1.73943</v>
      </c>
      <c r="L59" s="1">
        <v>1.64114</v>
      </c>
      <c r="M59" s="1">
        <v>1.41188</v>
      </c>
      <c r="Y59" s="24"/>
      <c r="Z59" s="24"/>
      <c r="AA59" s="24"/>
      <c r="AB59" s="24"/>
      <c r="AC59" s="24"/>
    </row>
    <row r="60" spans="1:29" x14ac:dyDescent="0.3">
      <c r="A60" s="7">
        <v>0.57999999999999996</v>
      </c>
      <c r="B60" s="1">
        <v>1.14703</v>
      </c>
      <c r="C60" s="1">
        <v>1.9336599999999999</v>
      </c>
      <c r="D60" s="1">
        <v>1.54874</v>
      </c>
      <c r="E60" s="1">
        <v>1.5497000000000001</v>
      </c>
      <c r="F60" s="1">
        <v>1.09596</v>
      </c>
      <c r="G60" s="1">
        <v>1.0616099999999999</v>
      </c>
      <c r="H60" s="1">
        <v>1.52776</v>
      </c>
      <c r="I60" s="8">
        <v>0.57999999999999996</v>
      </c>
      <c r="J60" s="1">
        <v>1.06823</v>
      </c>
      <c r="K60" s="1">
        <v>1.70346</v>
      </c>
      <c r="L60" s="1">
        <v>1.59005</v>
      </c>
      <c r="M60" s="1">
        <v>1.3096699999999999</v>
      </c>
      <c r="Y60" s="23"/>
      <c r="Z60" s="23"/>
      <c r="AA60" s="23"/>
      <c r="AB60" s="23"/>
      <c r="AC60" s="23"/>
    </row>
    <row r="61" spans="1:29" x14ac:dyDescent="0.3">
      <c r="A61" s="7">
        <v>0.59</v>
      </c>
      <c r="B61" s="1">
        <v>1.1176299999999999</v>
      </c>
      <c r="C61" s="1">
        <v>1.88618</v>
      </c>
      <c r="D61" s="1">
        <v>1.5304</v>
      </c>
      <c r="E61" s="1">
        <v>1.45329</v>
      </c>
      <c r="F61" s="1">
        <v>1.0328299999999999</v>
      </c>
      <c r="G61" s="1">
        <v>1.0043</v>
      </c>
      <c r="H61" s="1">
        <v>1.4923900000000001</v>
      </c>
      <c r="I61" s="8">
        <v>0.59</v>
      </c>
      <c r="J61" s="1">
        <v>0.96675599999999995</v>
      </c>
      <c r="K61" s="1">
        <v>1.66276</v>
      </c>
      <c r="L61" s="1">
        <v>1.53485</v>
      </c>
      <c r="M61" s="1">
        <v>1.2067699999999999</v>
      </c>
      <c r="Y61" s="23"/>
      <c r="Z61" s="25"/>
      <c r="AA61" s="25"/>
      <c r="AB61" s="25"/>
      <c r="AC61" s="25"/>
    </row>
    <row r="62" spans="1:29" x14ac:dyDescent="0.3">
      <c r="A62" s="7">
        <v>0.6</v>
      </c>
      <c r="B62" s="1">
        <v>1.0869200000000001</v>
      </c>
      <c r="C62" s="1">
        <v>1.8327</v>
      </c>
      <c r="D62" s="1">
        <v>1.50925</v>
      </c>
      <c r="E62" s="1">
        <v>1.35545</v>
      </c>
      <c r="F62" s="1">
        <v>0.96942700000000004</v>
      </c>
      <c r="G62" s="1">
        <v>0.94658799999999998</v>
      </c>
      <c r="H62" s="1">
        <v>1.4539599999999999</v>
      </c>
      <c r="I62" s="8">
        <v>0.6</v>
      </c>
      <c r="J62" s="1">
        <v>0.86899300000000002</v>
      </c>
      <c r="K62" s="1">
        <v>1.61788</v>
      </c>
      <c r="L62" s="1">
        <v>1.4762599999999999</v>
      </c>
      <c r="M62" s="1">
        <v>1.10517</v>
      </c>
      <c r="Y62" s="23"/>
      <c r="Z62" s="24"/>
      <c r="AA62" s="24"/>
      <c r="AB62" s="24"/>
      <c r="AC62" s="24"/>
    </row>
    <row r="63" spans="1:29" x14ac:dyDescent="0.3">
      <c r="A63" s="7">
        <v>0.61</v>
      </c>
      <c r="B63" s="1">
        <v>1.05433</v>
      </c>
      <c r="C63" s="1">
        <v>1.7746999999999999</v>
      </c>
      <c r="D63" s="1">
        <v>1.4849699999999999</v>
      </c>
      <c r="E63" s="1">
        <v>1.2580499999999999</v>
      </c>
      <c r="F63" s="1">
        <v>0.906107</v>
      </c>
      <c r="G63" s="1">
        <v>0.88865799999999995</v>
      </c>
      <c r="H63" s="1">
        <v>1.41252</v>
      </c>
      <c r="I63" s="8">
        <v>0.61</v>
      </c>
      <c r="J63" s="1">
        <v>0.77627699999999999</v>
      </c>
      <c r="K63" s="1">
        <v>1.56941</v>
      </c>
      <c r="L63" s="1">
        <v>1.41499</v>
      </c>
      <c r="M63" s="1">
        <v>1.0065299999999999</v>
      </c>
      <c r="Y63" s="24"/>
      <c r="Z63" s="24"/>
      <c r="AA63" s="24"/>
      <c r="AB63" s="24"/>
      <c r="AC63" s="24"/>
    </row>
    <row r="64" spans="1:29" x14ac:dyDescent="0.3">
      <c r="A64" s="7">
        <v>0.62</v>
      </c>
      <c r="B64" s="1">
        <v>1.01932</v>
      </c>
      <c r="C64" s="1">
        <v>1.71353</v>
      </c>
      <c r="D64" s="1">
        <v>1.4572400000000001</v>
      </c>
      <c r="E64" s="1">
        <v>1.16259</v>
      </c>
      <c r="F64" s="1">
        <v>0.84321500000000005</v>
      </c>
      <c r="G64" s="1">
        <v>0.83069899999999997</v>
      </c>
      <c r="H64" s="1">
        <v>1.3681300000000001</v>
      </c>
      <c r="I64" s="8">
        <v>0.62</v>
      </c>
      <c r="J64" s="1">
        <v>0.68954000000000004</v>
      </c>
      <c r="K64" s="1">
        <v>1.5178700000000001</v>
      </c>
      <c r="L64" s="1">
        <v>1.35168</v>
      </c>
      <c r="M64" s="1">
        <v>0.91213599999999995</v>
      </c>
      <c r="Y64" s="24"/>
      <c r="Z64" s="24"/>
      <c r="AA64" s="24"/>
      <c r="AB64" s="24"/>
      <c r="AC64" s="24"/>
    </row>
    <row r="65" spans="1:29" x14ac:dyDescent="0.3">
      <c r="A65" s="7">
        <v>0.63</v>
      </c>
      <c r="B65" s="1">
        <v>0.98151600000000006</v>
      </c>
      <c r="C65" s="1">
        <v>1.6503300000000001</v>
      </c>
      <c r="D65" s="1">
        <v>1.42581</v>
      </c>
      <c r="E65" s="1">
        <v>1.0702400000000001</v>
      </c>
      <c r="F65" s="1">
        <v>0.78108599999999995</v>
      </c>
      <c r="G65" s="1">
        <v>0.77293800000000001</v>
      </c>
      <c r="H65" s="1">
        <v>1.3208599999999999</v>
      </c>
      <c r="I65" s="8">
        <v>0.63</v>
      </c>
      <c r="J65" s="1">
        <v>0.60932699999999995</v>
      </c>
      <c r="K65" s="1">
        <v>1.46374</v>
      </c>
      <c r="L65" s="1">
        <v>1.2868999999999999</v>
      </c>
      <c r="M65" s="1">
        <v>0.82287900000000003</v>
      </c>
      <c r="Y65" s="24"/>
      <c r="Z65" s="24"/>
      <c r="AA65" s="24"/>
      <c r="AB65" s="24"/>
      <c r="AC65" s="24"/>
    </row>
    <row r="66" spans="1:29" x14ac:dyDescent="0.3">
      <c r="A66" s="7">
        <v>0.64</v>
      </c>
      <c r="B66" s="1">
        <v>0.94070399999999998</v>
      </c>
      <c r="C66" s="1">
        <v>1.5860000000000001</v>
      </c>
      <c r="D66" s="1">
        <v>1.3905000000000001</v>
      </c>
      <c r="E66" s="1">
        <v>0.98177599999999998</v>
      </c>
      <c r="F66" s="1">
        <v>0.72004699999999999</v>
      </c>
      <c r="G66" s="1">
        <v>0.71564000000000005</v>
      </c>
      <c r="H66" s="1">
        <v>1.27084</v>
      </c>
      <c r="I66" s="8">
        <v>0.64</v>
      </c>
      <c r="J66" s="1">
        <v>0.53585199999999999</v>
      </c>
      <c r="K66" s="1">
        <v>1.4074500000000001</v>
      </c>
      <c r="L66" s="1">
        <v>1.2211700000000001</v>
      </c>
      <c r="M66" s="1">
        <v>0.73928899999999997</v>
      </c>
      <c r="Y66" s="24"/>
      <c r="Z66" s="24"/>
      <c r="AA66" s="24"/>
      <c r="AB66" s="24"/>
      <c r="AC66" s="24"/>
    </row>
    <row r="67" spans="1:29" x14ac:dyDescent="0.3">
      <c r="A67" s="7">
        <v>0.65</v>
      </c>
      <c r="B67" s="1">
        <v>0.89687300000000003</v>
      </c>
      <c r="C67" s="1">
        <v>1.5212000000000001</v>
      </c>
      <c r="D67" s="1">
        <v>1.3512200000000001</v>
      </c>
      <c r="E67" s="1">
        <v>0.89769500000000002</v>
      </c>
      <c r="F67" s="1">
        <v>0.66041899999999998</v>
      </c>
      <c r="G67" s="1">
        <v>0.65910500000000005</v>
      </c>
      <c r="H67" s="1">
        <v>1.21824</v>
      </c>
      <c r="I67" s="8">
        <v>0.65</v>
      </c>
      <c r="J67" s="1">
        <v>0.46907300000000002</v>
      </c>
      <c r="K67" s="1">
        <v>1.34934</v>
      </c>
      <c r="L67" s="1">
        <v>1.15489</v>
      </c>
      <c r="M67" s="1">
        <v>0.66160200000000002</v>
      </c>
      <c r="Y67" s="23"/>
      <c r="Z67" s="23"/>
      <c r="AA67" s="23"/>
      <c r="AB67" s="23"/>
      <c r="AC67" s="23"/>
    </row>
    <row r="68" spans="1:29" x14ac:dyDescent="0.3">
      <c r="A68" s="7">
        <v>0.66</v>
      </c>
      <c r="B68" s="1">
        <v>0.85020200000000001</v>
      </c>
      <c r="C68" s="1">
        <v>1.45634</v>
      </c>
      <c r="D68" s="1">
        <v>1.3080099999999999</v>
      </c>
      <c r="E68" s="1">
        <v>0.81823199999999996</v>
      </c>
      <c r="F68" s="1">
        <v>0.60251699999999997</v>
      </c>
      <c r="G68" s="1">
        <v>0.603661</v>
      </c>
      <c r="H68" s="1">
        <v>1.1632800000000001</v>
      </c>
      <c r="I68" s="8">
        <v>0.66</v>
      </c>
      <c r="J68" s="1">
        <v>0.40876600000000002</v>
      </c>
      <c r="K68" s="1">
        <v>1.2897099999999999</v>
      </c>
      <c r="L68" s="1">
        <v>1.08843</v>
      </c>
      <c r="M68" s="1">
        <v>0.58982999999999997</v>
      </c>
      <c r="Y68" s="23"/>
      <c r="Z68" s="23"/>
      <c r="AA68" s="23"/>
      <c r="AB68" s="23"/>
      <c r="AC68" s="23"/>
    </row>
    <row r="69" spans="1:29" x14ac:dyDescent="0.3">
      <c r="A69" s="7">
        <v>0.67</v>
      </c>
      <c r="B69" s="1">
        <v>0.80104399999999998</v>
      </c>
      <c r="C69" s="1">
        <v>1.3916900000000001</v>
      </c>
      <c r="D69" s="1">
        <v>1.26098</v>
      </c>
      <c r="E69" s="1">
        <v>0.74344900000000003</v>
      </c>
      <c r="F69" s="1">
        <v>0.54663899999999999</v>
      </c>
      <c r="G69" s="1">
        <v>0.54964900000000005</v>
      </c>
      <c r="H69" s="1">
        <v>1.10625</v>
      </c>
      <c r="I69" s="8">
        <v>0.67</v>
      </c>
      <c r="J69" s="1">
        <v>0.35459299999999999</v>
      </c>
      <c r="K69" s="1">
        <v>1.2288399999999999</v>
      </c>
      <c r="L69" s="1">
        <v>1.0221100000000001</v>
      </c>
      <c r="M69" s="1">
        <v>0.52383500000000005</v>
      </c>
      <c r="Y69" s="23"/>
      <c r="Z69" s="23"/>
      <c r="AA69" s="23"/>
      <c r="AB69" s="23"/>
      <c r="AC69" s="23"/>
    </row>
    <row r="70" spans="1:29" x14ac:dyDescent="0.3">
      <c r="A70" s="7">
        <v>0.68</v>
      </c>
      <c r="B70" s="1">
        <v>0.74989099999999997</v>
      </c>
      <c r="C70" s="1">
        <v>1.32734</v>
      </c>
      <c r="D70" s="1">
        <v>1.21041</v>
      </c>
      <c r="E70" s="1">
        <v>0.67329300000000003</v>
      </c>
      <c r="F70" s="1">
        <v>0.49306800000000001</v>
      </c>
      <c r="G70" s="1">
        <v>0.49741099999999999</v>
      </c>
      <c r="H70" s="1">
        <v>1.04749</v>
      </c>
      <c r="I70" s="8">
        <v>0.68</v>
      </c>
      <c r="J70" s="1">
        <v>0.30615500000000001</v>
      </c>
      <c r="K70" s="1">
        <v>1.1669700000000001</v>
      </c>
      <c r="L70" s="1">
        <v>0.95622300000000005</v>
      </c>
      <c r="M70" s="1">
        <v>0.46338499999999999</v>
      </c>
      <c r="Y70" s="23"/>
      <c r="Z70" s="23"/>
      <c r="AA70" s="23"/>
      <c r="AB70" s="23"/>
      <c r="AC70" s="23"/>
    </row>
    <row r="71" spans="1:29" x14ac:dyDescent="0.3">
      <c r="A71" s="7">
        <v>0.69</v>
      </c>
      <c r="B71" s="1">
        <v>0.69733299999999998</v>
      </c>
      <c r="C71" s="1">
        <v>1.26335</v>
      </c>
      <c r="D71" s="1">
        <v>1.1566099999999999</v>
      </c>
      <c r="E71" s="1">
        <v>0.60764700000000005</v>
      </c>
      <c r="F71" s="1">
        <v>0.44206099999999998</v>
      </c>
      <c r="G71" s="1">
        <v>0.44727600000000001</v>
      </c>
      <c r="H71" s="1">
        <v>0.987375</v>
      </c>
      <c r="I71" s="8">
        <v>0.69</v>
      </c>
      <c r="J71" s="1">
        <v>0.26302999999999999</v>
      </c>
      <c r="K71" s="1">
        <v>1.1043499999999999</v>
      </c>
      <c r="L71" s="1">
        <v>0.89104399999999995</v>
      </c>
      <c r="M71" s="1">
        <v>0.40820499999999998</v>
      </c>
    </row>
    <row r="72" spans="1:29" x14ac:dyDescent="0.3">
      <c r="A72" s="7">
        <v>0.7</v>
      </c>
      <c r="B72" s="1">
        <v>0.64401900000000001</v>
      </c>
      <c r="C72" s="1">
        <v>1.1997100000000001</v>
      </c>
      <c r="D72" s="1">
        <v>1.1000099999999999</v>
      </c>
      <c r="E72" s="1">
        <v>0.54636399999999996</v>
      </c>
      <c r="F72" s="1">
        <v>0.39384000000000002</v>
      </c>
      <c r="G72" s="1">
        <v>0.39954200000000001</v>
      </c>
      <c r="H72" s="1">
        <v>0.92633200000000004</v>
      </c>
      <c r="I72" s="8">
        <v>0.7</v>
      </c>
      <c r="J72" s="1">
        <v>0.224798</v>
      </c>
      <c r="K72" s="1">
        <v>1.0412300000000001</v>
      </c>
      <c r="L72" s="1">
        <v>0.826847</v>
      </c>
      <c r="M72" s="1">
        <v>0.35799799999999998</v>
      </c>
    </row>
    <row r="73" spans="1:29" x14ac:dyDescent="0.3">
      <c r="A73" s="7">
        <v>0.71</v>
      </c>
      <c r="B73" s="1">
        <v>0.59061900000000001</v>
      </c>
      <c r="C73" s="1">
        <v>1.13642</v>
      </c>
      <c r="D73" s="1">
        <v>1.0410999999999999</v>
      </c>
      <c r="E73" s="1">
        <v>0.48928899999999997</v>
      </c>
      <c r="F73" s="1">
        <v>0.34859200000000001</v>
      </c>
      <c r="G73" s="1">
        <v>0.35447000000000001</v>
      </c>
      <c r="H73" s="1">
        <v>0.86480900000000005</v>
      </c>
      <c r="I73" s="8">
        <v>0.71</v>
      </c>
      <c r="J73" s="1">
        <v>0.191051</v>
      </c>
      <c r="K73" s="1">
        <v>0.97790299999999997</v>
      </c>
      <c r="L73" s="1">
        <v>0.76390199999999997</v>
      </c>
      <c r="M73" s="1">
        <v>0.31247000000000003</v>
      </c>
    </row>
    <row r="74" spans="1:29" x14ac:dyDescent="0.3">
      <c r="A74" s="7">
        <v>0.72</v>
      </c>
      <c r="B74" s="1">
        <v>0.53778599999999999</v>
      </c>
      <c r="C74" s="1">
        <v>1.07348</v>
      </c>
      <c r="D74" s="1">
        <v>0.98039399999999999</v>
      </c>
      <c r="E74" s="1">
        <v>0.436276</v>
      </c>
      <c r="F74" s="1">
        <v>0.30645800000000001</v>
      </c>
      <c r="G74" s="1">
        <v>0.31227300000000002</v>
      </c>
      <c r="H74" s="1">
        <v>0.80326900000000001</v>
      </c>
      <c r="I74" s="8">
        <v>0.72</v>
      </c>
      <c r="J74" s="1">
        <v>0.16140399999999999</v>
      </c>
      <c r="K74" s="1">
        <v>0.91464500000000004</v>
      </c>
      <c r="L74" s="1">
        <v>0.70248299999999997</v>
      </c>
      <c r="M74" s="1">
        <v>0.27133699999999999</v>
      </c>
    </row>
    <row r="75" spans="1:29" x14ac:dyDescent="0.3">
      <c r="A75" s="7">
        <v>0.73</v>
      </c>
      <c r="B75" s="1">
        <v>0.48613499999999998</v>
      </c>
      <c r="C75" s="1">
        <v>1.0109399999999999</v>
      </c>
      <c r="D75" s="1">
        <v>0.918462</v>
      </c>
      <c r="E75" s="1">
        <v>0.387187</v>
      </c>
      <c r="F75" s="1">
        <v>0.267536</v>
      </c>
      <c r="G75" s="1">
        <v>0.27310699999999999</v>
      </c>
      <c r="H75" s="1">
        <v>0.74218099999999998</v>
      </c>
      <c r="I75" s="8">
        <v>0.73</v>
      </c>
      <c r="J75" s="1">
        <v>0.135493</v>
      </c>
      <c r="K75" s="1">
        <v>0.85177000000000003</v>
      </c>
      <c r="L75" s="1">
        <v>0.64285800000000004</v>
      </c>
      <c r="M75" s="1">
        <v>0.23432800000000001</v>
      </c>
    </row>
    <row r="76" spans="1:29" x14ac:dyDescent="0.3">
      <c r="A76" s="7">
        <v>0.74</v>
      </c>
      <c r="B76" s="1">
        <v>0.43621700000000002</v>
      </c>
      <c r="C76" s="1">
        <v>0.94887699999999997</v>
      </c>
      <c r="D76" s="1">
        <v>0.85587400000000002</v>
      </c>
      <c r="E76" s="1">
        <v>0.34189599999999998</v>
      </c>
      <c r="F76" s="1">
        <v>0.23187199999999999</v>
      </c>
      <c r="G76" s="1">
        <v>0.23707500000000001</v>
      </c>
      <c r="H76" s="1">
        <v>0.682006</v>
      </c>
      <c r="I76" s="8">
        <v>0.74</v>
      </c>
      <c r="J76" s="1">
        <v>0.11297599999999999</v>
      </c>
      <c r="K76" s="1">
        <v>0.78960200000000003</v>
      </c>
      <c r="L76" s="1">
        <v>0.58529200000000003</v>
      </c>
      <c r="M76" s="1">
        <v>0.201183</v>
      </c>
    </row>
    <row r="77" spans="1:29" x14ac:dyDescent="0.3">
      <c r="A77" s="7">
        <v>0.75</v>
      </c>
      <c r="B77" s="1">
        <v>0.388511</v>
      </c>
      <c r="C77" s="1">
        <v>0.88741899999999996</v>
      </c>
      <c r="D77" s="1">
        <v>0.79320199999999996</v>
      </c>
      <c r="E77" s="1">
        <v>0.30028300000000002</v>
      </c>
      <c r="F77" s="1">
        <v>0.199466</v>
      </c>
      <c r="G77" s="1">
        <v>0.20422299999999999</v>
      </c>
      <c r="H77" s="1">
        <v>0.62318799999999996</v>
      </c>
      <c r="I77" s="8">
        <v>0.75</v>
      </c>
      <c r="J77" s="1">
        <v>9.3528399999999998E-2</v>
      </c>
      <c r="K77" s="1">
        <v>0.72847399999999995</v>
      </c>
      <c r="L77" s="1">
        <v>0.53003599999999995</v>
      </c>
      <c r="M77" s="1">
        <v>0.171652</v>
      </c>
    </row>
    <row r="78" spans="1:29" x14ac:dyDescent="0.3">
      <c r="A78" s="7">
        <v>0.76</v>
      </c>
      <c r="B78" s="1">
        <v>0.34340799999999999</v>
      </c>
      <c r="C78" s="1">
        <v>0.82672699999999999</v>
      </c>
      <c r="D78" s="1">
        <v>0.73100600000000004</v>
      </c>
      <c r="E78" s="1">
        <v>0.26223099999999999</v>
      </c>
      <c r="F78" s="1">
        <v>0.17027200000000001</v>
      </c>
      <c r="G78" s="1">
        <v>0.174542</v>
      </c>
      <c r="H78" s="1">
        <v>0.56613999999999998</v>
      </c>
      <c r="I78" s="8">
        <v>0.76</v>
      </c>
      <c r="J78" s="1">
        <v>7.6846100000000001E-2</v>
      </c>
      <c r="K78" s="1">
        <v>0.66872200000000004</v>
      </c>
      <c r="L78" s="1">
        <v>0.477321</v>
      </c>
      <c r="M78" s="1">
        <v>0.14549100000000001</v>
      </c>
    </row>
    <row r="79" spans="1:29" x14ac:dyDescent="0.3">
      <c r="A79" s="7">
        <v>0.77</v>
      </c>
      <c r="B79" s="1">
        <v>0.30121300000000001</v>
      </c>
      <c r="C79" s="1">
        <v>0.76699700000000004</v>
      </c>
      <c r="D79" s="1">
        <v>0.66981999999999997</v>
      </c>
      <c r="E79" s="1">
        <v>0.22761899999999999</v>
      </c>
      <c r="F79" s="1">
        <v>0.144203</v>
      </c>
      <c r="G79" s="1">
        <v>0.14797099999999999</v>
      </c>
      <c r="H79" s="1">
        <v>0.511239</v>
      </c>
      <c r="I79" s="8">
        <v>0.77</v>
      </c>
      <c r="J79" s="1">
        <v>6.2640199999999993E-2</v>
      </c>
      <c r="K79" s="1">
        <v>0.61067099999999996</v>
      </c>
      <c r="L79" s="1">
        <v>0.42735400000000001</v>
      </c>
      <c r="M79" s="1">
        <v>0.122461</v>
      </c>
    </row>
    <row r="80" spans="1:29" x14ac:dyDescent="0.3">
      <c r="A80" s="7">
        <v>0.78</v>
      </c>
      <c r="B80" s="1">
        <v>0.26214599999999999</v>
      </c>
      <c r="C80" s="1">
        <v>0.708453</v>
      </c>
      <c r="D80" s="1">
        <v>0.61014100000000004</v>
      </c>
      <c r="E80" s="1">
        <v>0.19631899999999999</v>
      </c>
      <c r="F80" s="1">
        <v>0.121132</v>
      </c>
      <c r="G80" s="1">
        <v>0.124408</v>
      </c>
      <c r="H80" s="1">
        <v>0.45882099999999998</v>
      </c>
      <c r="I80" s="8">
        <v>0.78</v>
      </c>
      <c r="J80" s="1">
        <v>5.0637599999999998E-2</v>
      </c>
      <c r="K80" s="1">
        <v>0.55463600000000002</v>
      </c>
      <c r="L80" s="1">
        <v>0.38030999999999998</v>
      </c>
      <c r="M80" s="1">
        <v>0.102325</v>
      </c>
    </row>
    <row r="81" spans="1:13" x14ac:dyDescent="0.3">
      <c r="A81" s="7">
        <v>0.79</v>
      </c>
      <c r="B81" s="1">
        <v>0.22633800000000001</v>
      </c>
      <c r="C81" s="1">
        <v>0.651335</v>
      </c>
      <c r="D81" s="1">
        <v>0.55242199999999997</v>
      </c>
      <c r="E81" s="1">
        <v>0.16819300000000001</v>
      </c>
      <c r="F81" s="1">
        <v>0.100901</v>
      </c>
      <c r="G81" s="1">
        <v>0.103709</v>
      </c>
      <c r="H81" s="1">
        <v>0.409167</v>
      </c>
      <c r="I81" s="8">
        <v>0.79</v>
      </c>
      <c r="J81" s="1">
        <v>4.0581100000000002E-2</v>
      </c>
      <c r="K81" s="1">
        <v>0.50090400000000002</v>
      </c>
      <c r="L81" s="1">
        <v>0.33632499999999999</v>
      </c>
      <c r="M81" s="1">
        <v>8.4847099999999995E-2</v>
      </c>
    </row>
    <row r="82" spans="1:13" x14ac:dyDescent="0.3">
      <c r="A82" s="7">
        <v>0.8</v>
      </c>
      <c r="B82" s="1">
        <v>0.19384599999999999</v>
      </c>
      <c r="C82" s="1">
        <v>0.59589300000000001</v>
      </c>
      <c r="D82" s="1">
        <v>0.49706400000000001</v>
      </c>
      <c r="E82" s="1">
        <v>0.143092</v>
      </c>
      <c r="F82" s="1">
        <v>8.3326200000000003E-2</v>
      </c>
      <c r="G82" s="1">
        <v>8.5701100000000002E-2</v>
      </c>
      <c r="H82" s="1">
        <v>0.36250700000000002</v>
      </c>
      <c r="I82" s="8">
        <v>0.8</v>
      </c>
      <c r="J82" s="1">
        <v>3.2229099999999997E-2</v>
      </c>
      <c r="K82" s="1">
        <v>0.44973400000000002</v>
      </c>
      <c r="L82" s="1">
        <v>0.29549900000000001</v>
      </c>
      <c r="M82" s="1">
        <v>6.9794800000000004E-2</v>
      </c>
    </row>
    <row r="83" spans="1:13" x14ac:dyDescent="0.3">
      <c r="A83" s="7">
        <v>0.81</v>
      </c>
      <c r="B83" s="1">
        <v>0.164655</v>
      </c>
      <c r="C83" s="1">
        <v>0.54237500000000005</v>
      </c>
      <c r="D83" s="1">
        <v>0.44441199999999997</v>
      </c>
      <c r="E83" s="1">
        <v>0.120852</v>
      </c>
      <c r="F83" s="1">
        <v>6.8204699999999993E-2</v>
      </c>
      <c r="G83" s="1">
        <v>7.0188100000000003E-2</v>
      </c>
      <c r="H83" s="1">
        <v>0.31901400000000002</v>
      </c>
      <c r="I83" s="8">
        <v>0.81</v>
      </c>
      <c r="J83" s="1">
        <v>2.5356900000000002E-2</v>
      </c>
      <c r="K83" s="1">
        <v>0.40134900000000001</v>
      </c>
      <c r="L83" s="1">
        <v>0.25788899999999998</v>
      </c>
      <c r="M83" s="1">
        <v>5.6937399999999999E-2</v>
      </c>
    </row>
    <row r="84" spans="1:13" x14ac:dyDescent="0.3">
      <c r="A84" s="7">
        <v>0.82</v>
      </c>
      <c r="B84" s="1">
        <v>0.13869000000000001</v>
      </c>
      <c r="C84" s="1">
        <v>0.49102000000000001</v>
      </c>
      <c r="D84" s="1">
        <v>0.39474700000000001</v>
      </c>
      <c r="E84" s="1">
        <v>0.101297</v>
      </c>
      <c r="F84" s="1">
        <v>5.5320800000000003E-2</v>
      </c>
      <c r="G84" s="1">
        <v>5.6957000000000001E-2</v>
      </c>
      <c r="H84" s="1">
        <v>0.278804</v>
      </c>
      <c r="I84" s="8">
        <v>0.82</v>
      </c>
      <c r="J84" s="1">
        <v>1.9756800000000001E-2</v>
      </c>
      <c r="K84" s="1">
        <v>0.35593000000000002</v>
      </c>
      <c r="L84" s="1">
        <v>0.22350600000000001</v>
      </c>
      <c r="M84" s="1">
        <v>4.6049399999999997E-2</v>
      </c>
    </row>
    <row r="85" spans="1:13" x14ac:dyDescent="0.3">
      <c r="A85" s="7">
        <v>0.83</v>
      </c>
      <c r="B85" s="1">
        <v>0.11582099999999999</v>
      </c>
      <c r="C85" s="1">
        <v>0.44204700000000002</v>
      </c>
      <c r="D85" s="1">
        <v>0.34828799999999999</v>
      </c>
      <c r="E85" s="1">
        <v>8.4240899999999994E-2</v>
      </c>
      <c r="F85" s="1">
        <v>4.4452800000000001E-2</v>
      </c>
      <c r="G85" s="1">
        <v>4.5786399999999998E-2</v>
      </c>
      <c r="H85" s="1">
        <v>0.24193700000000001</v>
      </c>
      <c r="I85" s="8">
        <v>0.83</v>
      </c>
      <c r="J85" s="1">
        <v>1.5239300000000001E-2</v>
      </c>
      <c r="K85" s="1">
        <v>0.31361299999999998</v>
      </c>
      <c r="L85" s="1">
        <v>0.19232299999999999</v>
      </c>
      <c r="M85" s="1">
        <v>3.6911899999999997E-2</v>
      </c>
    </row>
    <row r="86" spans="1:13" x14ac:dyDescent="0.3">
      <c r="A86" s="7">
        <v>0.84</v>
      </c>
      <c r="B86" s="1">
        <v>9.5879199999999998E-2</v>
      </c>
      <c r="C86" s="1">
        <v>0.395652</v>
      </c>
      <c r="D86" s="1">
        <v>0.30519000000000002</v>
      </c>
      <c r="E86" s="1">
        <v>6.9487800000000002E-2</v>
      </c>
      <c r="F86" s="1">
        <v>3.53785E-2</v>
      </c>
      <c r="G86" s="1">
        <v>3.6452699999999998E-2</v>
      </c>
      <c r="H86" s="1">
        <v>0.20841699999999999</v>
      </c>
      <c r="I86" s="8">
        <v>0.84</v>
      </c>
      <c r="J86" s="1">
        <v>1.16332E-2</v>
      </c>
      <c r="K86" s="1">
        <v>0.27448600000000001</v>
      </c>
      <c r="L86" s="1">
        <v>0.164272</v>
      </c>
      <c r="M86" s="1">
        <v>2.93152E-2</v>
      </c>
    </row>
    <row r="87" spans="1:13" x14ac:dyDescent="0.3">
      <c r="A87" s="7">
        <v>0.85</v>
      </c>
      <c r="B87" s="1">
        <v>7.8664399999999995E-2</v>
      </c>
      <c r="C87" s="1">
        <v>0.351997</v>
      </c>
      <c r="D87" s="1">
        <v>0.265544</v>
      </c>
      <c r="E87" s="1">
        <v>5.6837699999999998E-2</v>
      </c>
      <c r="F87" s="1">
        <v>2.7880499999999999E-2</v>
      </c>
      <c r="G87" s="1">
        <v>2.8735699999999999E-2</v>
      </c>
      <c r="H87" s="1">
        <v>0.1782</v>
      </c>
      <c r="I87" s="8">
        <v>0.85</v>
      </c>
      <c r="J87" s="1">
        <v>8.7857100000000004E-3</v>
      </c>
      <c r="K87" s="1">
        <v>0.238591</v>
      </c>
      <c r="L87" s="1">
        <v>0.13924800000000001</v>
      </c>
      <c r="M87" s="1">
        <v>2.3060899999999999E-2</v>
      </c>
    </row>
    <row r="88" spans="1:13" x14ac:dyDescent="0.3">
      <c r="A88" s="7">
        <v>0.86</v>
      </c>
      <c r="B88" s="1">
        <v>6.3953200000000002E-2</v>
      </c>
      <c r="C88" s="1">
        <v>0.31121100000000002</v>
      </c>
      <c r="D88" s="1">
        <v>0.229382</v>
      </c>
      <c r="E88" s="1">
        <v>4.60881E-2</v>
      </c>
      <c r="F88" s="1">
        <v>2.1750800000000001E-2</v>
      </c>
      <c r="G88" s="1">
        <v>2.2423599999999998E-2</v>
      </c>
      <c r="H88" s="1">
        <v>0.151195</v>
      </c>
      <c r="I88" s="8">
        <v>0.86</v>
      </c>
      <c r="J88" s="1">
        <v>6.5623299999999999E-3</v>
      </c>
      <c r="K88" s="1">
        <v>0.205925</v>
      </c>
      <c r="L88" s="1">
        <v>0.117115</v>
      </c>
      <c r="M88" s="1">
        <v>1.7963199999999999E-2</v>
      </c>
    </row>
    <row r="89" spans="1:13" x14ac:dyDescent="0.3">
      <c r="A89" s="7">
        <v>0.87</v>
      </c>
      <c r="B89" s="1">
        <v>5.1509600000000003E-2</v>
      </c>
      <c r="C89" s="1">
        <v>0.27338200000000001</v>
      </c>
      <c r="D89" s="1">
        <v>0.19667999999999999</v>
      </c>
      <c r="E89" s="1">
        <v>3.70382E-2</v>
      </c>
      <c r="F89" s="1">
        <v>1.6793800000000001E-2</v>
      </c>
      <c r="G89" s="1">
        <v>1.7317099999999998E-2</v>
      </c>
      <c r="H89" s="1">
        <v>0.127274</v>
      </c>
      <c r="I89" s="8">
        <v>0.87</v>
      </c>
      <c r="J89" s="1">
        <v>4.84623E-3</v>
      </c>
      <c r="K89" s="1">
        <v>0.17643900000000001</v>
      </c>
      <c r="L89" s="1">
        <v>9.7709799999999999E-2</v>
      </c>
      <c r="M89" s="1">
        <v>1.38513E-2</v>
      </c>
    </row>
    <row r="90" spans="1:13" x14ac:dyDescent="0.3">
      <c r="A90" s="7">
        <v>0.88</v>
      </c>
      <c r="B90" s="1">
        <v>4.1092799999999999E-2</v>
      </c>
      <c r="C90" s="1">
        <v>0.23855699999999999</v>
      </c>
      <c r="D90" s="1">
        <v>0.16736100000000001</v>
      </c>
      <c r="E90" s="1">
        <v>2.9492000000000001E-2</v>
      </c>
      <c r="F90" s="1">
        <v>1.28296E-2</v>
      </c>
      <c r="G90" s="1">
        <v>1.32319E-2</v>
      </c>
      <c r="H90" s="1">
        <v>0.10627200000000001</v>
      </c>
      <c r="I90" s="8">
        <v>0.88</v>
      </c>
      <c r="J90" s="1">
        <v>3.5373499999999999E-3</v>
      </c>
      <c r="K90" s="1">
        <v>0.15004600000000001</v>
      </c>
      <c r="L90" s="1">
        <v>8.0848000000000003E-2</v>
      </c>
      <c r="M90" s="1">
        <v>1.05699E-2</v>
      </c>
    </row>
    <row r="91" spans="1:13" x14ac:dyDescent="0.3">
      <c r="A91" s="7">
        <v>0.89</v>
      </c>
      <c r="B91" s="1">
        <v>3.2463899999999997E-2</v>
      </c>
      <c r="C91" s="1">
        <v>0.20674600000000001</v>
      </c>
      <c r="D91" s="1">
        <v>0.14130599999999999</v>
      </c>
      <c r="E91" s="1">
        <v>2.32616E-2</v>
      </c>
      <c r="F91" s="1">
        <v>9.6951199999999998E-3</v>
      </c>
      <c r="G91" s="1">
        <v>1.00007E-2</v>
      </c>
      <c r="H91" s="1">
        <v>8.8001499999999996E-2</v>
      </c>
      <c r="I91" s="8">
        <v>0.89</v>
      </c>
      <c r="J91" s="1">
        <v>2.5511800000000001E-3</v>
      </c>
      <c r="K91" s="1">
        <v>0.12662000000000001</v>
      </c>
      <c r="L91" s="1">
        <v>6.6329799999999994E-2</v>
      </c>
      <c r="M91" s="1">
        <v>7.9799599999999995E-3</v>
      </c>
    </row>
    <row r="92" spans="1:13" x14ac:dyDescent="0.3">
      <c r="A92" s="7">
        <v>0.9</v>
      </c>
      <c r="B92" s="1">
        <v>2.5392000000000001E-2</v>
      </c>
      <c r="C92" s="1">
        <v>0.17791499999999999</v>
      </c>
      <c r="D92" s="1">
        <v>0.118358</v>
      </c>
      <c r="E92" s="1">
        <v>1.8169299999999999E-2</v>
      </c>
      <c r="F92" s="1">
        <v>7.2452599999999999E-3</v>
      </c>
      <c r="G92" s="1">
        <v>7.4746200000000004E-3</v>
      </c>
      <c r="H92" s="1">
        <v>7.2253600000000001E-2</v>
      </c>
      <c r="I92" s="8">
        <v>0.9</v>
      </c>
      <c r="J92" s="1">
        <v>1.8174300000000001E-3</v>
      </c>
      <c r="K92" s="1">
        <v>0.10600900000000001</v>
      </c>
      <c r="L92" s="1">
        <v>5.3946000000000001E-2</v>
      </c>
      <c r="M92" s="1">
        <v>5.95869E-3</v>
      </c>
    </row>
    <row r="93" spans="1:13" x14ac:dyDescent="0.3">
      <c r="A93" s="7">
        <v>0.91</v>
      </c>
      <c r="B93" s="1">
        <v>1.9658800000000001E-2</v>
      </c>
      <c r="C93" s="1">
        <v>0.15199499999999999</v>
      </c>
      <c r="D93" s="1">
        <v>9.8327300000000006E-2</v>
      </c>
      <c r="E93" s="1">
        <v>1.40505E-2</v>
      </c>
      <c r="F93" s="1">
        <v>5.3530299999999999E-3</v>
      </c>
      <c r="G93" s="1">
        <v>5.5231200000000003E-3</v>
      </c>
      <c r="H93" s="1">
        <v>5.8807999999999999E-2</v>
      </c>
      <c r="I93" s="8">
        <v>0.91</v>
      </c>
      <c r="J93" s="1">
        <v>1.2784700000000001E-3</v>
      </c>
      <c r="K93" s="1">
        <v>8.8035000000000002E-2</v>
      </c>
      <c r="L93" s="1">
        <v>4.3483300000000003E-2</v>
      </c>
      <c r="M93" s="1">
        <v>4.3994500000000001E-3</v>
      </c>
    </row>
    <row r="94" spans="1:13" x14ac:dyDescent="0.3">
      <c r="A94" s="7">
        <v>0.92</v>
      </c>
      <c r="B94" s="1">
        <v>1.50619E-2</v>
      </c>
      <c r="C94" s="1">
        <v>0.128885</v>
      </c>
      <c r="D94" s="1">
        <v>8.1004000000000007E-2</v>
      </c>
      <c r="E94" s="1">
        <v>1.07543E-2</v>
      </c>
      <c r="F94" s="1">
        <v>3.9090699999999997E-3</v>
      </c>
      <c r="G94" s="1">
        <v>4.0336699999999996E-3</v>
      </c>
      <c r="H94" s="1">
        <v>4.7437899999999998E-2</v>
      </c>
      <c r="I94" s="8">
        <v>0.92</v>
      </c>
      <c r="J94" s="1">
        <v>8.8777799999999998E-4</v>
      </c>
      <c r="K94" s="1">
        <v>7.2501499999999997E-2</v>
      </c>
      <c r="L94" s="1">
        <v>3.4729599999999999E-2</v>
      </c>
      <c r="M94" s="1">
        <v>3.21084E-3</v>
      </c>
    </row>
    <row r="95" spans="1:13" x14ac:dyDescent="0.3">
      <c r="A95" s="7">
        <v>0.93</v>
      </c>
      <c r="B95" s="1">
        <v>1.14173E-2</v>
      </c>
      <c r="C95" s="1">
        <v>0.10845200000000001</v>
      </c>
      <c r="D95" s="1">
        <v>6.6161399999999995E-2</v>
      </c>
      <c r="E95" s="1">
        <v>8.1451400000000004E-3</v>
      </c>
      <c r="F95" s="1">
        <v>2.8206899999999998E-3</v>
      </c>
      <c r="G95" s="1">
        <v>2.91084E-3</v>
      </c>
      <c r="H95" s="1">
        <v>3.7916900000000003E-2</v>
      </c>
      <c r="I95" s="8">
        <v>0.93</v>
      </c>
      <c r="J95" s="1">
        <v>6.0835700000000002E-4</v>
      </c>
      <c r="K95" s="1">
        <v>5.9200599999999999E-2</v>
      </c>
      <c r="L95" s="1">
        <v>2.7478499999999999E-2</v>
      </c>
      <c r="M95" s="1">
        <v>2.3157099999999999E-3</v>
      </c>
    </row>
    <row r="96" spans="1:13" x14ac:dyDescent="0.3">
      <c r="A96" s="7">
        <v>0.94</v>
      </c>
      <c r="B96" s="1">
        <v>8.5605200000000003E-3</v>
      </c>
      <c r="C96" s="1">
        <v>9.0543100000000001E-2</v>
      </c>
      <c r="D96" s="1">
        <v>5.3564899999999999E-2</v>
      </c>
      <c r="E96" s="1">
        <v>6.1027499999999997E-3</v>
      </c>
      <c r="F96" s="1">
        <v>2.0106E-3</v>
      </c>
      <c r="G96" s="1">
        <v>2.07501E-3</v>
      </c>
      <c r="H96" s="1">
        <v>3.00237E-2</v>
      </c>
      <c r="I96" s="8">
        <v>0.94</v>
      </c>
      <c r="J96" s="1">
        <v>4.1125999999999999E-4</v>
      </c>
      <c r="K96" s="1">
        <v>4.7918099999999998E-2</v>
      </c>
      <c r="L96" s="1">
        <v>2.1532699999999998E-2</v>
      </c>
      <c r="M96" s="1">
        <v>1.64996E-3</v>
      </c>
    </row>
    <row r="97" spans="1:15" x14ac:dyDescent="0.3">
      <c r="A97" s="7">
        <v>0.95</v>
      </c>
      <c r="B97" s="1">
        <v>6.3472800000000003E-3</v>
      </c>
      <c r="C97" s="1">
        <v>7.4982599999999996E-2</v>
      </c>
      <c r="D97" s="1">
        <v>4.2977500000000002E-2</v>
      </c>
      <c r="E97" s="1">
        <v>4.5221899999999997E-3</v>
      </c>
      <c r="F97" s="1">
        <v>1.4153499999999999E-3</v>
      </c>
      <c r="G97" s="1">
        <v>1.4607800000000001E-3</v>
      </c>
      <c r="H97" s="1">
        <v>2.35462E-2</v>
      </c>
      <c r="I97" s="8">
        <v>0.95</v>
      </c>
      <c r="J97" s="1">
        <v>2.74183E-4</v>
      </c>
      <c r="K97" s="1">
        <v>3.84392E-2</v>
      </c>
      <c r="L97" s="1">
        <v>1.6707799999999998E-2</v>
      </c>
      <c r="M97" s="1">
        <v>1.16106E-3</v>
      </c>
    </row>
    <row r="98" spans="1:15" x14ac:dyDescent="0.3">
      <c r="A98" s="7">
        <v>0.96</v>
      </c>
      <c r="B98" s="1">
        <v>4.6528300000000002E-3</v>
      </c>
      <c r="C98" s="1">
        <v>6.1583600000000002E-2</v>
      </c>
      <c r="D98" s="1">
        <v>3.4166200000000001E-2</v>
      </c>
      <c r="E98" s="1">
        <v>3.3132399999999998E-3</v>
      </c>
      <c r="F98" s="1">
        <v>9.8366300000000007E-4</v>
      </c>
      <c r="G98" s="1">
        <v>1.0152900000000001E-3</v>
      </c>
      <c r="H98" s="1">
        <v>1.82854E-2</v>
      </c>
      <c r="I98" s="8">
        <v>0.96</v>
      </c>
      <c r="J98" s="1">
        <v>1.8021500000000001E-4</v>
      </c>
      <c r="K98" s="1">
        <v>3.0553199999999999E-2</v>
      </c>
      <c r="L98" s="1">
        <v>1.28337E-2</v>
      </c>
      <c r="M98" s="1">
        <v>8.0668700000000005E-4</v>
      </c>
    </row>
    <row r="99" spans="1:15" x14ac:dyDescent="0.3">
      <c r="A99" s="7">
        <v>0.97</v>
      </c>
      <c r="B99" s="1">
        <v>3.3711499999999998E-3</v>
      </c>
      <c r="C99" s="1">
        <v>5.0151000000000001E-2</v>
      </c>
      <c r="D99" s="1">
        <v>2.6906200000000002E-2</v>
      </c>
      <c r="E99" s="1">
        <v>2.39952E-3</v>
      </c>
      <c r="F99" s="1">
        <v>6.7475900000000004E-4</v>
      </c>
      <c r="G99" s="1">
        <v>6.9648099999999999E-4</v>
      </c>
      <c r="H99" s="1">
        <v>1.4057800000000001E-2</v>
      </c>
      <c r="I99" s="8">
        <v>0.97</v>
      </c>
      <c r="J99" s="1">
        <v>1.16741E-4</v>
      </c>
      <c r="K99" s="1">
        <v>2.4057499999999999E-2</v>
      </c>
      <c r="L99" s="1">
        <v>9.75643E-3</v>
      </c>
      <c r="M99" s="1">
        <v>5.5321600000000004E-4</v>
      </c>
    </row>
    <row r="100" spans="1:15" x14ac:dyDescent="0.3">
      <c r="A100" s="7">
        <v>0.98</v>
      </c>
      <c r="B100" s="1">
        <v>2.4135699999999999E-3</v>
      </c>
      <c r="C100" s="1">
        <v>4.0486899999999999E-2</v>
      </c>
      <c r="D100" s="1">
        <v>2.0985199999999999E-2</v>
      </c>
      <c r="E100" s="1">
        <v>1.71729E-3</v>
      </c>
      <c r="F100" s="1">
        <v>4.5671500000000001E-4</v>
      </c>
      <c r="G100" s="1">
        <v>4.7143499999999997E-4</v>
      </c>
      <c r="H100" s="1">
        <v>1.0696900000000001E-2</v>
      </c>
      <c r="I100" s="8">
        <v>0.98</v>
      </c>
      <c r="J100" s="18">
        <v>7.45084E-5</v>
      </c>
      <c r="K100" s="1">
        <v>1.8761099999999999E-2</v>
      </c>
      <c r="L100" s="1">
        <v>7.3389800000000002E-3</v>
      </c>
      <c r="M100" s="1">
        <v>3.74366E-4</v>
      </c>
      <c r="O100" s="22"/>
    </row>
    <row r="101" spans="1:15" x14ac:dyDescent="0.3">
      <c r="A101" s="7">
        <v>0.99</v>
      </c>
      <c r="B101" s="1">
        <v>1.70706E-3</v>
      </c>
      <c r="C101" s="1">
        <v>3.2395100000000003E-2</v>
      </c>
      <c r="D101" s="1">
        <v>1.6206399999999999E-2</v>
      </c>
      <c r="E101" s="1">
        <v>1.2142100000000001E-3</v>
      </c>
      <c r="F101" s="1">
        <v>3.0493700000000002E-4</v>
      </c>
      <c r="G101" s="1">
        <v>3.1477499999999999E-4</v>
      </c>
      <c r="H101" s="1">
        <v>8.0542700000000005E-3</v>
      </c>
      <c r="I101" s="8">
        <v>0.99</v>
      </c>
      <c r="J101" s="18">
        <v>4.6836899999999999E-5</v>
      </c>
      <c r="K101" s="1">
        <v>1.44873E-2</v>
      </c>
      <c r="L101" s="1">
        <v>5.4611E-3</v>
      </c>
      <c r="M101" s="1">
        <v>2.4990800000000002E-4</v>
      </c>
      <c r="O101" s="22"/>
    </row>
    <row r="102" spans="1:15" x14ac:dyDescent="0.3">
      <c r="A102" s="7">
        <v>1</v>
      </c>
      <c r="B102" s="1">
        <v>1.19243E-3</v>
      </c>
      <c r="C102" s="1">
        <v>2.5685099999999999E-2</v>
      </c>
      <c r="D102" s="1">
        <v>1.239E-2</v>
      </c>
      <c r="E102" s="1">
        <v>8.4793100000000001E-4</v>
      </c>
      <c r="F102" s="1">
        <v>2.0077699999999999E-4</v>
      </c>
      <c r="G102" s="1">
        <v>2.0725999999999999E-4</v>
      </c>
      <c r="H102" s="1">
        <v>5.9995500000000002E-3</v>
      </c>
      <c r="I102" s="8">
        <v>1</v>
      </c>
      <c r="J102" s="18">
        <v>2.8988799999999999E-5</v>
      </c>
      <c r="K102" s="1">
        <v>1.1074799999999999E-2</v>
      </c>
      <c r="L102" s="1">
        <v>4.0190099999999999E-3</v>
      </c>
      <c r="M102" s="1">
        <v>1.6451899999999999E-4</v>
      </c>
      <c r="O102" s="22"/>
    </row>
    <row r="104" spans="1:15" x14ac:dyDescent="0.3">
      <c r="B104" s="1">
        <v>8</v>
      </c>
      <c r="C104" s="1">
        <v>7</v>
      </c>
      <c r="D104" s="1">
        <v>6</v>
      </c>
      <c r="E104" s="1">
        <v>5</v>
      </c>
      <c r="F104" s="1">
        <v>4</v>
      </c>
      <c r="G104" s="1">
        <v>3</v>
      </c>
      <c r="H104" s="1">
        <v>2</v>
      </c>
      <c r="J104" s="1">
        <f>MAX(J3:J102)</f>
        <v>2.0065200000000001</v>
      </c>
      <c r="K104" s="1">
        <f t="shared" ref="K104:M104" si="0">MAX(K3:K102)</f>
        <v>1.8352999999999999</v>
      </c>
      <c r="L104" s="1">
        <f t="shared" si="0"/>
        <v>1.8455299999999999</v>
      </c>
      <c r="M104" s="1">
        <f t="shared" si="0"/>
        <v>2.0377399999999999</v>
      </c>
    </row>
    <row r="105" spans="1:15" x14ac:dyDescent="0.3">
      <c r="B105" s="1">
        <f>MAX(B3:B102)</f>
        <v>1.66462</v>
      </c>
      <c r="C105" s="1">
        <f t="shared" ref="C105:H105" si="1">MAX(C3:C102)</f>
        <v>2.0384500000000001</v>
      </c>
      <c r="D105" s="1">
        <f t="shared" si="1"/>
        <v>1.6187199999999999</v>
      </c>
      <c r="E105" s="1">
        <f t="shared" si="1"/>
        <v>2.06969</v>
      </c>
      <c r="F105" s="1">
        <f t="shared" si="1"/>
        <v>1.81036</v>
      </c>
      <c r="G105" s="1">
        <f t="shared" si="1"/>
        <v>1.79416</v>
      </c>
      <c r="H105" s="1">
        <f t="shared" si="1"/>
        <v>1.7033199999999999</v>
      </c>
    </row>
    <row r="106" spans="1:15" x14ac:dyDescent="0.3">
      <c r="B106" s="8">
        <f>VLOOKUP(B105,B3:$I$102,B104,FALSE)</f>
        <v>0.35</v>
      </c>
      <c r="C106" s="8">
        <f>VLOOKUP(C105,C3:$I$102,C104,FALSE)</f>
        <v>0.53</v>
      </c>
      <c r="D106" s="8">
        <f>VLOOKUP(D105,D3:$I$102,D104,FALSE)</f>
        <v>0.5</v>
      </c>
      <c r="E106" s="8">
        <f>VLOOKUP(E105,E3:$I$102,E104,FALSE)</f>
        <v>0.48</v>
      </c>
      <c r="F106" s="8">
        <f>VLOOKUP(F105,F3:$I$102,F104,FALSE)</f>
        <v>0.38</v>
      </c>
      <c r="G106" s="8">
        <f>VLOOKUP(G105,G3:$I$102,G104,FALSE)</f>
        <v>0.36</v>
      </c>
      <c r="H106" s="8">
        <f>VLOOKUP(H105,H3:$I$102,H104,FALSE)</f>
        <v>0.48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CEE4-AC49-4CA3-B027-F6F652859CE0}">
  <dimension ref="B3:P16"/>
  <sheetViews>
    <sheetView workbookViewId="0">
      <selection activeCell="D15" sqref="D15"/>
    </sheetView>
  </sheetViews>
  <sheetFormatPr baseColWidth="10" defaultRowHeight="14.4" x14ac:dyDescent="0.3"/>
  <cols>
    <col min="2" max="2" width="15" bestFit="1" customWidth="1"/>
  </cols>
  <sheetData>
    <row r="3" spans="2:16" x14ac:dyDescent="0.3">
      <c r="B3" s="1"/>
      <c r="C3" s="1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</row>
    <row r="4" spans="2:16" x14ac:dyDescent="0.3">
      <c r="B4" s="1"/>
      <c r="C4" s="1"/>
      <c r="D4" s="1"/>
      <c r="E4" s="1"/>
      <c r="F4" s="1"/>
      <c r="H4" s="1"/>
      <c r="I4" s="1"/>
      <c r="J4" s="1"/>
      <c r="K4" s="1"/>
      <c r="L4" s="1"/>
      <c r="M4" s="1"/>
      <c r="N4" s="1"/>
      <c r="O4" s="5"/>
      <c r="P4" s="1"/>
    </row>
    <row r="5" spans="2:16" x14ac:dyDescent="0.3">
      <c r="B5" s="1"/>
      <c r="C5" s="1"/>
      <c r="D5" s="1"/>
      <c r="E5" s="1"/>
      <c r="F5" s="1"/>
      <c r="H5" s="1"/>
      <c r="I5" s="1"/>
      <c r="J5" s="1"/>
      <c r="K5" s="1"/>
      <c r="L5" s="1"/>
      <c r="M5" s="1"/>
      <c r="N5" s="1"/>
      <c r="O5" s="5"/>
      <c r="P5" s="1"/>
    </row>
    <row r="8" spans="2:16" x14ac:dyDescent="0.3">
      <c r="B8" s="1"/>
      <c r="C8" s="1"/>
      <c r="D8" s="1"/>
    </row>
    <row r="9" spans="2:16" x14ac:dyDescent="0.3">
      <c r="B9" s="1"/>
      <c r="C9" s="1"/>
      <c r="D9" s="1"/>
    </row>
    <row r="10" spans="2:16" x14ac:dyDescent="0.3">
      <c r="B10" s="1"/>
      <c r="C10" s="1"/>
      <c r="D10" s="1"/>
    </row>
    <row r="11" spans="2:16" x14ac:dyDescent="0.3">
      <c r="B11" s="1"/>
      <c r="C11" s="1"/>
      <c r="D11" s="1"/>
    </row>
    <row r="12" spans="2:16" x14ac:dyDescent="0.3">
      <c r="B12" s="1"/>
      <c r="C12" s="1"/>
      <c r="D12" s="1"/>
    </row>
    <row r="13" spans="2:16" x14ac:dyDescent="0.3">
      <c r="B13" s="1"/>
      <c r="C13" s="1"/>
      <c r="D13" s="1"/>
    </row>
    <row r="14" spans="2:16" x14ac:dyDescent="0.3">
      <c r="B14" s="1"/>
      <c r="C14" s="1"/>
      <c r="D14" s="1"/>
    </row>
    <row r="15" spans="2:16" x14ac:dyDescent="0.3">
      <c r="B15" s="1"/>
      <c r="C15" s="5"/>
      <c r="D15" s="5"/>
    </row>
    <row r="16" spans="2:16" x14ac:dyDescent="0.3">
      <c r="B16" s="1"/>
      <c r="C16" s="1"/>
      <c r="D16" s="1"/>
    </row>
  </sheetData>
  <conditionalFormatting sqref="C5:F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15D3-30DF-466C-9121-36274F0AC8AC}">
  <dimension ref="A1:U105"/>
  <sheetViews>
    <sheetView topLeftCell="B1" zoomScale="70" zoomScaleNormal="70" workbookViewId="0">
      <selection activeCell="H6" sqref="H6:I105"/>
    </sheetView>
  </sheetViews>
  <sheetFormatPr baseColWidth="10" defaultRowHeight="14.4" x14ac:dyDescent="0.3"/>
  <cols>
    <col min="2" max="2" width="16" bestFit="1" customWidth="1"/>
    <col min="8" max="9" width="14.21875" bestFit="1" customWidth="1"/>
    <col min="13" max="14" width="16.5546875" bestFit="1" customWidth="1"/>
    <col min="15" max="15" width="10.88671875" customWidth="1"/>
    <col min="16" max="16" width="12.44140625" customWidth="1"/>
  </cols>
  <sheetData>
    <row r="1" spans="1:21" x14ac:dyDescent="0.3">
      <c r="H1" s="29" t="s">
        <v>17</v>
      </c>
      <c r="I1" s="29"/>
      <c r="J1" s="29"/>
      <c r="K1" s="29"/>
      <c r="M1" s="29" t="s">
        <v>16</v>
      </c>
      <c r="N1" s="29"/>
      <c r="O1" s="29"/>
      <c r="P1" s="29"/>
      <c r="R1" s="29" t="s">
        <v>35</v>
      </c>
      <c r="S1" s="29"/>
      <c r="T1" s="29"/>
      <c r="U1" s="29"/>
    </row>
    <row r="2" spans="1:21" x14ac:dyDescent="0.3">
      <c r="A2" s="6" t="s">
        <v>18</v>
      </c>
      <c r="B2" s="2" t="s">
        <v>12</v>
      </c>
      <c r="C2" s="2" t="s">
        <v>27</v>
      </c>
      <c r="D2" s="2" t="s">
        <v>28</v>
      </c>
      <c r="E2" s="2" t="s">
        <v>29</v>
      </c>
      <c r="F2" s="2" t="s">
        <v>30</v>
      </c>
      <c r="H2" s="2" t="s">
        <v>0</v>
      </c>
      <c r="I2" s="2" t="s">
        <v>1</v>
      </c>
      <c r="J2" s="2" t="s">
        <v>2</v>
      </c>
      <c r="K2" s="2" t="s">
        <v>3</v>
      </c>
      <c r="M2" s="2" t="s">
        <v>33</v>
      </c>
      <c r="N2" s="2" t="s">
        <v>34</v>
      </c>
      <c r="O2" s="2" t="s">
        <v>31</v>
      </c>
      <c r="P2" s="2" t="s">
        <v>32</v>
      </c>
      <c r="R2" s="2" t="s">
        <v>36</v>
      </c>
      <c r="S2" s="2" t="s">
        <v>37</v>
      </c>
      <c r="T2" s="2" t="s">
        <v>38</v>
      </c>
      <c r="U2" s="2" t="s">
        <v>39</v>
      </c>
    </row>
    <row r="3" spans="1:21" x14ac:dyDescent="0.3">
      <c r="A3" s="3">
        <v>8</v>
      </c>
      <c r="B3" s="2">
        <v>2</v>
      </c>
      <c r="C3" s="2">
        <v>10</v>
      </c>
      <c r="D3" s="2">
        <v>15</v>
      </c>
      <c r="E3" s="2">
        <v>15</v>
      </c>
      <c r="F3" s="2">
        <v>30</v>
      </c>
      <c r="H3" s="2">
        <f>M3-C3</f>
        <v>14</v>
      </c>
      <c r="I3" s="2">
        <f t="shared" ref="I3:K3" si="0">N3-D3</f>
        <v>26</v>
      </c>
      <c r="J3" s="2">
        <f t="shared" si="0"/>
        <v>5</v>
      </c>
      <c r="K3" s="2">
        <f t="shared" si="0"/>
        <v>10</v>
      </c>
      <c r="M3" s="2">
        <v>24</v>
      </c>
      <c r="N3" s="2">
        <v>41</v>
      </c>
      <c r="O3" s="2">
        <v>20</v>
      </c>
      <c r="P3" s="2">
        <v>40</v>
      </c>
      <c r="R3" s="2">
        <v>23</v>
      </c>
      <c r="S3" s="2">
        <v>35</v>
      </c>
      <c r="T3" s="2">
        <v>15</v>
      </c>
      <c r="U3" s="2">
        <v>30</v>
      </c>
    </row>
    <row r="5" spans="1:21" x14ac:dyDescent="0.3">
      <c r="B5" s="2"/>
      <c r="C5" s="2" t="s">
        <v>14</v>
      </c>
      <c r="G5" s="15"/>
      <c r="H5" s="15" t="s">
        <v>19</v>
      </c>
      <c r="I5" s="15" t="s">
        <v>20</v>
      </c>
    </row>
    <row r="6" spans="1:21" x14ac:dyDescent="0.3">
      <c r="B6" s="2" t="s">
        <v>13</v>
      </c>
      <c r="C6" s="2">
        <v>2</v>
      </c>
      <c r="G6" s="14">
        <f>P_i!A3</f>
        <v>0.01</v>
      </c>
      <c r="H6" s="26">
        <f>P_i!C3</f>
        <v>0.56954700000000003</v>
      </c>
      <c r="I6" s="26">
        <v>0.93132400000000004</v>
      </c>
    </row>
    <row r="7" spans="1:21" x14ac:dyDescent="0.3">
      <c r="B7" s="2" t="s">
        <v>4</v>
      </c>
      <c r="C7" s="2">
        <v>1</v>
      </c>
      <c r="G7" s="14">
        <f>P_i!A4</f>
        <v>0.02</v>
      </c>
      <c r="H7" s="26">
        <f>P_i!C4</f>
        <v>0.571183</v>
      </c>
      <c r="I7" s="26">
        <v>0.93388700000000002</v>
      </c>
    </row>
    <row r="8" spans="1:21" x14ac:dyDescent="0.3">
      <c r="B8" s="2" t="s">
        <v>5</v>
      </c>
      <c r="C8" s="2">
        <v>0.5</v>
      </c>
      <c r="G8" s="14">
        <f>P_i!A5</f>
        <v>0.03</v>
      </c>
      <c r="H8" s="26">
        <f>P_i!C5</f>
        <v>0.57384800000000002</v>
      </c>
      <c r="I8" s="26">
        <v>0.93796000000000002</v>
      </c>
    </row>
    <row r="9" spans="1:21" x14ac:dyDescent="0.3">
      <c r="B9" s="2" t="s">
        <v>6</v>
      </c>
      <c r="C9" s="2">
        <v>0.5</v>
      </c>
      <c r="G9" s="14">
        <f>P_i!A6</f>
        <v>0.04</v>
      </c>
      <c r="H9" s="26">
        <f>P_i!C6</f>
        <v>0.57750800000000002</v>
      </c>
      <c r="I9" s="26">
        <v>0.94341600000000003</v>
      </c>
    </row>
    <row r="10" spans="1:21" x14ac:dyDescent="0.3">
      <c r="B10" s="2" t="s">
        <v>7</v>
      </c>
      <c r="C10" s="2">
        <v>1</v>
      </c>
      <c r="G10" s="14">
        <f>P_i!A7</f>
        <v>0.05</v>
      </c>
      <c r="H10" s="26">
        <f>P_i!C7</f>
        <v>0.58213599999999999</v>
      </c>
      <c r="I10" s="26">
        <v>0.95015400000000005</v>
      </c>
    </row>
    <row r="11" spans="1:21" x14ac:dyDescent="0.3">
      <c r="B11" s="2" t="s">
        <v>8</v>
      </c>
      <c r="C11" s="2">
        <v>1</v>
      </c>
      <c r="G11" s="14">
        <f>P_i!A8</f>
        <v>0.06</v>
      </c>
      <c r="H11" s="26">
        <f>P_i!C8</f>
        <v>0.58771499999999999</v>
      </c>
      <c r="I11" s="26">
        <v>0.95809100000000003</v>
      </c>
    </row>
    <row r="12" spans="1:21" x14ac:dyDescent="0.3">
      <c r="B12" s="2" t="s">
        <v>9</v>
      </c>
      <c r="C12" s="2">
        <v>200</v>
      </c>
      <c r="G12" s="14">
        <f>P_i!A9</f>
        <v>7.0000000000000007E-2</v>
      </c>
      <c r="H12" s="26">
        <f>P_i!C9</f>
        <v>0.59423599999999999</v>
      </c>
      <c r="I12" s="26">
        <v>0.96716299999999999</v>
      </c>
    </row>
    <row r="13" spans="1:21" x14ac:dyDescent="0.3">
      <c r="B13" s="2" t="s">
        <v>10</v>
      </c>
      <c r="C13" s="2">
        <v>0.5</v>
      </c>
      <c r="G13" s="14">
        <f>P_i!A10</f>
        <v>0.08</v>
      </c>
      <c r="H13" s="26">
        <f>P_i!C10</f>
        <v>0.60169399999999995</v>
      </c>
      <c r="I13" s="26">
        <v>0.97731299999999999</v>
      </c>
    </row>
    <row r="14" spans="1:21" x14ac:dyDescent="0.3">
      <c r="B14" s="2" t="s">
        <v>11</v>
      </c>
      <c r="C14" s="2">
        <v>0.65</v>
      </c>
      <c r="G14" s="14">
        <f>P_i!A11</f>
        <v>0.09</v>
      </c>
      <c r="H14" s="26">
        <f>P_i!C11</f>
        <v>0.610093</v>
      </c>
      <c r="I14" s="26">
        <v>0.98849900000000002</v>
      </c>
    </row>
    <row r="15" spans="1:21" x14ac:dyDescent="0.3">
      <c r="G15" s="14">
        <f>P_i!A12</f>
        <v>0.1</v>
      </c>
      <c r="H15" s="26">
        <f>P_i!C12</f>
        <v>0.61944100000000002</v>
      </c>
      <c r="I15" s="26">
        <v>1.00068</v>
      </c>
    </row>
    <row r="16" spans="1:21" x14ac:dyDescent="0.3">
      <c r="G16" s="14">
        <f>P_i!A13</f>
        <v>0.11</v>
      </c>
      <c r="H16" s="26">
        <f>P_i!C13</f>
        <v>0.62975000000000003</v>
      </c>
      <c r="I16" s="26">
        <v>1.01383</v>
      </c>
    </row>
    <row r="17" spans="7:9" x14ac:dyDescent="0.3">
      <c r="G17" s="14">
        <f>P_i!A14</f>
        <v>0.12</v>
      </c>
      <c r="H17" s="26">
        <f>P_i!C14</f>
        <v>0.641038</v>
      </c>
      <c r="I17" s="26">
        <v>1.0279199999999999</v>
      </c>
    </row>
    <row r="18" spans="7:9" x14ac:dyDescent="0.3">
      <c r="G18" s="14">
        <f>P_i!A15</f>
        <v>0.13</v>
      </c>
      <c r="H18" s="26">
        <f>P_i!C15</f>
        <v>0.65332500000000004</v>
      </c>
      <c r="I18" s="26">
        <v>1.0429299999999999</v>
      </c>
    </row>
    <row r="19" spans="7:9" x14ac:dyDescent="0.3">
      <c r="G19" s="14">
        <f>P_i!A16</f>
        <v>0.14000000000000001</v>
      </c>
      <c r="H19" s="26">
        <f>P_i!C16</f>
        <v>0.66663700000000004</v>
      </c>
      <c r="I19" s="26">
        <v>1.0588200000000001</v>
      </c>
    </row>
    <row r="20" spans="7:9" x14ac:dyDescent="0.3">
      <c r="G20" s="14">
        <f>P_i!A17</f>
        <v>0.15</v>
      </c>
      <c r="H20" s="26">
        <f>P_i!C17</f>
        <v>0.68100099999999997</v>
      </c>
      <c r="I20" s="26">
        <v>1.07558</v>
      </c>
    </row>
    <row r="21" spans="7:9" x14ac:dyDescent="0.3">
      <c r="G21" s="14">
        <f>P_i!A18</f>
        <v>0.16</v>
      </c>
      <c r="H21" s="26">
        <f>P_i!C18</f>
        <v>0.69644899999999998</v>
      </c>
      <c r="I21" s="26">
        <v>1.0931900000000001</v>
      </c>
    </row>
    <row r="22" spans="7:9" x14ac:dyDescent="0.3">
      <c r="G22" s="14">
        <f>P_i!A19</f>
        <v>0.17</v>
      </c>
      <c r="H22" s="26">
        <f>P_i!C19</f>
        <v>0.71301499999999995</v>
      </c>
      <c r="I22" s="26">
        <v>1.11161</v>
      </c>
    </row>
    <row r="23" spans="7:9" x14ac:dyDescent="0.3">
      <c r="G23" s="14">
        <f>P_i!A20</f>
        <v>0.18</v>
      </c>
      <c r="H23" s="26">
        <f>P_i!C20</f>
        <v>0.73073600000000005</v>
      </c>
      <c r="I23" s="26">
        <v>1.13083</v>
      </c>
    </row>
    <row r="24" spans="7:9" x14ac:dyDescent="0.3">
      <c r="G24" s="14">
        <f>P_i!A21</f>
        <v>0.19</v>
      </c>
      <c r="H24" s="26">
        <f>P_i!C21</f>
        <v>0.74965300000000001</v>
      </c>
      <c r="I24" s="26">
        <v>1.1508100000000001</v>
      </c>
    </row>
    <row r="25" spans="7:9" x14ac:dyDescent="0.3">
      <c r="G25" s="14">
        <f>P_i!A22</f>
        <v>0.2</v>
      </c>
      <c r="H25" s="26">
        <f>P_i!C22</f>
        <v>0.76980599999999999</v>
      </c>
      <c r="I25" s="26">
        <v>1.1715199999999999</v>
      </c>
    </row>
    <row r="26" spans="7:9" x14ac:dyDescent="0.3">
      <c r="G26" s="14">
        <f>P_i!A23</f>
        <v>0.21</v>
      </c>
      <c r="H26" s="26">
        <f>P_i!C23</f>
        <v>0.79124000000000005</v>
      </c>
      <c r="I26" s="26">
        <v>1.19292</v>
      </c>
    </row>
    <row r="27" spans="7:9" x14ac:dyDescent="0.3">
      <c r="G27" s="14">
        <f>P_i!A24</f>
        <v>0.22</v>
      </c>
      <c r="H27" s="26">
        <f>P_i!C24</f>
        <v>0.81400099999999997</v>
      </c>
      <c r="I27" s="26">
        <v>1.21496</v>
      </c>
    </row>
    <row r="28" spans="7:9" x14ac:dyDescent="0.3">
      <c r="G28" s="14">
        <f>P_i!A25</f>
        <v>0.23</v>
      </c>
      <c r="H28" s="26">
        <f>P_i!C25</f>
        <v>0.83813599999999999</v>
      </c>
      <c r="I28" s="26">
        <v>1.23759</v>
      </c>
    </row>
    <row r="29" spans="7:9" x14ac:dyDescent="0.3">
      <c r="G29" s="14">
        <f>P_i!A26</f>
        <v>0.24</v>
      </c>
      <c r="H29" s="26">
        <f>P_i!C26</f>
        <v>0.86369300000000004</v>
      </c>
      <c r="I29" s="26">
        <v>1.2607600000000001</v>
      </c>
    </row>
    <row r="30" spans="7:9" x14ac:dyDescent="0.3">
      <c r="G30" s="14">
        <f>P_i!A27</f>
        <v>0.25</v>
      </c>
      <c r="H30" s="26">
        <f>P_i!C27</f>
        <v>0.89072200000000001</v>
      </c>
      <c r="I30" s="26">
        <v>1.2844</v>
      </c>
    </row>
    <row r="31" spans="7:9" x14ac:dyDescent="0.3">
      <c r="G31" s="14">
        <f>P_i!A28</f>
        <v>0.26</v>
      </c>
      <c r="H31" s="26">
        <f>P_i!C28</f>
        <v>0.91927199999999998</v>
      </c>
      <c r="I31" s="26">
        <v>1.30843</v>
      </c>
    </row>
    <row r="32" spans="7:9" x14ac:dyDescent="0.3">
      <c r="G32" s="14">
        <f>P_i!A29</f>
        <v>0.27</v>
      </c>
      <c r="H32" s="26">
        <f>P_i!C29</f>
        <v>0.94938999999999996</v>
      </c>
      <c r="I32" s="26">
        <v>1.3327800000000001</v>
      </c>
    </row>
    <row r="33" spans="7:9" x14ac:dyDescent="0.3">
      <c r="G33" s="14">
        <f>P_i!A30</f>
        <v>0.28000000000000003</v>
      </c>
      <c r="H33" s="26">
        <f>P_i!C30</f>
        <v>0.98112500000000002</v>
      </c>
      <c r="I33" s="26">
        <v>1.3573500000000001</v>
      </c>
    </row>
    <row r="34" spans="7:9" x14ac:dyDescent="0.3">
      <c r="G34" s="14">
        <f>P_i!A31</f>
        <v>0.28999999999999998</v>
      </c>
      <c r="H34" s="26">
        <f>P_i!C31</f>
        <v>1.0145200000000001</v>
      </c>
      <c r="I34" s="26">
        <v>1.3820300000000001</v>
      </c>
    </row>
    <row r="35" spans="7:9" x14ac:dyDescent="0.3">
      <c r="G35" s="14">
        <f>P_i!A32</f>
        <v>0.3</v>
      </c>
      <c r="H35" s="26">
        <f>P_i!C32</f>
        <v>1.04962</v>
      </c>
      <c r="I35" s="26">
        <v>1.40672</v>
      </c>
    </row>
    <row r="36" spans="7:9" x14ac:dyDescent="0.3">
      <c r="G36" s="14">
        <f>P_i!A33</f>
        <v>0.31</v>
      </c>
      <c r="H36" s="26">
        <f>P_i!C33</f>
        <v>1.0864499999999999</v>
      </c>
      <c r="I36" s="26">
        <v>1.4313</v>
      </c>
    </row>
    <row r="37" spans="7:9" x14ac:dyDescent="0.3">
      <c r="G37" s="14">
        <f>P_i!A34</f>
        <v>0.32</v>
      </c>
      <c r="H37" s="26">
        <f>P_i!C34</f>
        <v>1.1250500000000001</v>
      </c>
      <c r="I37" s="26">
        <v>1.4556100000000001</v>
      </c>
    </row>
    <row r="38" spans="7:9" x14ac:dyDescent="0.3">
      <c r="G38" s="14">
        <f>P_i!A35</f>
        <v>0.33</v>
      </c>
      <c r="H38" s="26">
        <f>P_i!C35</f>
        <v>1.16544</v>
      </c>
      <c r="I38" s="26">
        <v>1.47953</v>
      </c>
    </row>
    <row r="39" spans="7:9" x14ac:dyDescent="0.3">
      <c r="G39" s="14">
        <f>P_i!A36</f>
        <v>0.34</v>
      </c>
      <c r="H39" s="26">
        <f>P_i!C36</f>
        <v>1.2076199999999999</v>
      </c>
      <c r="I39" s="26">
        <v>1.5028900000000001</v>
      </c>
    </row>
    <row r="40" spans="7:9" x14ac:dyDescent="0.3">
      <c r="G40" s="14">
        <f>P_i!A37</f>
        <v>0.35</v>
      </c>
      <c r="H40" s="26">
        <f>P_i!C37</f>
        <v>1.2515799999999999</v>
      </c>
      <c r="I40" s="26">
        <v>1.5255300000000001</v>
      </c>
    </row>
    <row r="41" spans="7:9" x14ac:dyDescent="0.3">
      <c r="G41" s="14">
        <f>P_i!A38</f>
        <v>0.36</v>
      </c>
      <c r="H41" s="26">
        <f>P_i!C38</f>
        <v>1.2972999999999999</v>
      </c>
      <c r="I41" s="26">
        <v>1.5472600000000001</v>
      </c>
    </row>
    <row r="42" spans="7:9" x14ac:dyDescent="0.3">
      <c r="G42" s="14">
        <f>P_i!A39</f>
        <v>0.37</v>
      </c>
      <c r="H42" s="26">
        <f>P_i!C39</f>
        <v>1.3447100000000001</v>
      </c>
      <c r="I42" s="26">
        <v>1.5679000000000001</v>
      </c>
    </row>
    <row r="43" spans="7:9" x14ac:dyDescent="0.3">
      <c r="G43" s="14">
        <f>P_i!A40</f>
        <v>0.38</v>
      </c>
      <c r="H43" s="26">
        <f>P_i!C40</f>
        <v>1.3937200000000001</v>
      </c>
      <c r="I43" s="26">
        <v>1.58727</v>
      </c>
    </row>
    <row r="44" spans="7:9" x14ac:dyDescent="0.3">
      <c r="G44" s="14">
        <f>P_i!A41</f>
        <v>0.39</v>
      </c>
      <c r="H44" s="26">
        <f>P_i!C41</f>
        <v>1.4442200000000001</v>
      </c>
      <c r="I44" s="26">
        <v>1.6051500000000001</v>
      </c>
    </row>
    <row r="45" spans="7:9" x14ac:dyDescent="0.3">
      <c r="G45" s="14">
        <f>P_i!A42</f>
        <v>0.4</v>
      </c>
      <c r="H45" s="26">
        <f>P_i!C42</f>
        <v>1.4960100000000001</v>
      </c>
      <c r="I45" s="26">
        <v>1.62134</v>
      </c>
    </row>
    <row r="46" spans="7:9" x14ac:dyDescent="0.3">
      <c r="G46" s="14">
        <f>P_i!A43</f>
        <v>0.41</v>
      </c>
      <c r="H46" s="26">
        <f>P_i!C43</f>
        <v>1.5488599999999999</v>
      </c>
      <c r="I46" s="26">
        <v>1.6356599999999999</v>
      </c>
    </row>
    <row r="47" spans="7:9" x14ac:dyDescent="0.3">
      <c r="G47" s="14">
        <f>P_i!A44</f>
        <v>0.42</v>
      </c>
      <c r="H47" s="26">
        <f>P_i!C44</f>
        <v>1.6024400000000001</v>
      </c>
      <c r="I47" s="26">
        <v>1.6478999999999999</v>
      </c>
    </row>
    <row r="48" spans="7:9" x14ac:dyDescent="0.3">
      <c r="G48" s="14">
        <f>P_i!A45</f>
        <v>0.43</v>
      </c>
      <c r="H48" s="26">
        <f>P_i!C45</f>
        <v>1.6563399999999999</v>
      </c>
      <c r="I48" s="26">
        <v>1.65788</v>
      </c>
    </row>
    <row r="49" spans="7:9" x14ac:dyDescent="0.3">
      <c r="G49" s="14">
        <f>P_i!A46</f>
        <v>0.44</v>
      </c>
      <c r="H49" s="26">
        <f>P_i!C46</f>
        <v>1.7100500000000001</v>
      </c>
      <c r="I49" s="26">
        <v>1.6654199999999999</v>
      </c>
    </row>
    <row r="50" spans="7:9" ht="15" thickBot="1" x14ac:dyDescent="0.35">
      <c r="G50" s="14">
        <f>P_i!A47</f>
        <v>0.45</v>
      </c>
      <c r="H50" s="26">
        <f>P_i!C47</f>
        <v>1.76292</v>
      </c>
      <c r="I50" s="26">
        <v>1.6703699999999999</v>
      </c>
    </row>
    <row r="51" spans="7:9" ht="15" thickBot="1" x14ac:dyDescent="0.35">
      <c r="G51" s="16">
        <f>P_i!A48</f>
        <v>0.46</v>
      </c>
      <c r="H51" s="27">
        <f>P_i!C48</f>
        <v>1.81419</v>
      </c>
      <c r="I51" s="28">
        <v>1.6726000000000001</v>
      </c>
    </row>
    <row r="52" spans="7:9" x14ac:dyDescent="0.3">
      <c r="G52" s="14">
        <f>P_i!A49</f>
        <v>0.47</v>
      </c>
      <c r="H52" s="26">
        <f>P_i!C49</f>
        <v>1.86293</v>
      </c>
      <c r="I52" s="26">
        <v>1.6719999999999999</v>
      </c>
    </row>
    <row r="53" spans="7:9" x14ac:dyDescent="0.3">
      <c r="G53" s="14">
        <f>P_i!A50</f>
        <v>0.48</v>
      </c>
      <c r="H53" s="26">
        <f>P_i!C50</f>
        <v>1.90811</v>
      </c>
      <c r="I53" s="26">
        <v>1.6685300000000001</v>
      </c>
    </row>
    <row r="54" spans="7:9" x14ac:dyDescent="0.3">
      <c r="G54" s="14">
        <f>P_i!A51</f>
        <v>0.49</v>
      </c>
      <c r="H54" s="26">
        <f>P_i!C51</f>
        <v>1.94855</v>
      </c>
      <c r="I54" s="26">
        <v>1.6621300000000001</v>
      </c>
    </row>
    <row r="55" spans="7:9" x14ac:dyDescent="0.3">
      <c r="G55" s="14">
        <f>P_i!A52</f>
        <v>0.5</v>
      </c>
      <c r="H55" s="26">
        <f>P_i!C52</f>
        <v>1.98302</v>
      </c>
      <c r="I55" s="26">
        <v>1.65282</v>
      </c>
    </row>
    <row r="56" spans="7:9" x14ac:dyDescent="0.3">
      <c r="G56" s="14">
        <f>P_i!A53</f>
        <v>0.51</v>
      </c>
      <c r="H56" s="26">
        <f>P_i!C53</f>
        <v>2.0102500000000001</v>
      </c>
      <c r="I56" s="26">
        <v>1.6406400000000001</v>
      </c>
    </row>
    <row r="57" spans="7:9" ht="15" thickBot="1" x14ac:dyDescent="0.35">
      <c r="G57" s="14">
        <f>P_i!A54</f>
        <v>0.52</v>
      </c>
      <c r="H57" s="26">
        <f>P_i!C54</f>
        <v>2.0290599999999999</v>
      </c>
      <c r="I57" s="26">
        <v>1.6256600000000001</v>
      </c>
    </row>
    <row r="58" spans="7:9" ht="15" thickBot="1" x14ac:dyDescent="0.35">
      <c r="G58" s="16">
        <f>P_i!A55</f>
        <v>0.53</v>
      </c>
      <c r="H58" s="28">
        <f>P_i!C55</f>
        <v>2.0384500000000001</v>
      </c>
      <c r="I58" s="26">
        <v>1.60795</v>
      </c>
    </row>
    <row r="59" spans="7:9" x14ac:dyDescent="0.3">
      <c r="G59" s="14">
        <f>P_i!A56</f>
        <v>0.54</v>
      </c>
      <c r="H59" s="26">
        <f>P_i!C56</f>
        <v>2.0377100000000001</v>
      </c>
      <c r="I59" s="26">
        <v>1.5875900000000001</v>
      </c>
    </row>
    <row r="60" spans="7:9" x14ac:dyDescent="0.3">
      <c r="G60" s="14">
        <f>P_i!A57</f>
        <v>0.55000000000000004</v>
      </c>
      <c r="H60" s="26">
        <f>P_i!C57</f>
        <v>2.0265</v>
      </c>
      <c r="I60" s="26">
        <v>1.56464</v>
      </c>
    </row>
    <row r="61" spans="7:9" x14ac:dyDescent="0.3">
      <c r="G61" s="14">
        <f>P_i!A58</f>
        <v>0.56000000000000005</v>
      </c>
      <c r="H61" s="26">
        <f>P_i!C58</f>
        <v>2.0049700000000001</v>
      </c>
      <c r="I61" s="26">
        <v>1.5391600000000001</v>
      </c>
    </row>
    <row r="62" spans="7:9" x14ac:dyDescent="0.3">
      <c r="G62" s="14">
        <f>P_i!A59</f>
        <v>0.56999999999999995</v>
      </c>
      <c r="H62" s="26">
        <f>P_i!C59</f>
        <v>1.9736899999999999</v>
      </c>
      <c r="I62" s="26">
        <v>1.51112</v>
      </c>
    </row>
    <row r="63" spans="7:9" x14ac:dyDescent="0.3">
      <c r="G63" s="14">
        <f>P_i!A60</f>
        <v>0.57999999999999996</v>
      </c>
      <c r="H63" s="26">
        <f>P_i!C60</f>
        <v>1.9336599999999999</v>
      </c>
      <c r="I63" s="26">
        <v>1.4804900000000001</v>
      </c>
    </row>
    <row r="64" spans="7:9" x14ac:dyDescent="0.3">
      <c r="G64" s="14">
        <f>P_i!A61</f>
        <v>0.59</v>
      </c>
      <c r="H64" s="26">
        <f>P_i!C61</f>
        <v>1.88618</v>
      </c>
      <c r="I64" s="26">
        <v>1.44719</v>
      </c>
    </row>
    <row r="65" spans="7:9" x14ac:dyDescent="0.3">
      <c r="G65" s="14">
        <f>P_i!A62</f>
        <v>0.6</v>
      </c>
      <c r="H65" s="26">
        <f>P_i!C62</f>
        <v>1.8327</v>
      </c>
      <c r="I65" s="26">
        <v>1.4111100000000001</v>
      </c>
    </row>
    <row r="66" spans="7:9" x14ac:dyDescent="0.3">
      <c r="G66" s="14">
        <f>P_i!A63</f>
        <v>0.61</v>
      </c>
      <c r="H66" s="26">
        <f>P_i!C63</f>
        <v>1.7746999999999999</v>
      </c>
      <c r="I66" s="26">
        <v>1.3721699999999999</v>
      </c>
    </row>
    <row r="67" spans="7:9" x14ac:dyDescent="0.3">
      <c r="G67" s="14">
        <f>P_i!A64</f>
        <v>0.62</v>
      </c>
      <c r="H67" s="26">
        <f>P_i!C64</f>
        <v>1.71353</v>
      </c>
      <c r="I67" s="26">
        <v>1.3302700000000001</v>
      </c>
    </row>
    <row r="68" spans="7:9" x14ac:dyDescent="0.3">
      <c r="G68" s="14">
        <f>P_i!A65</f>
        <v>0.63</v>
      </c>
      <c r="H68" s="26">
        <f>P_i!C65</f>
        <v>1.6503300000000001</v>
      </c>
      <c r="I68" s="26">
        <v>1.2854099999999999</v>
      </c>
    </row>
    <row r="69" spans="7:9" x14ac:dyDescent="0.3">
      <c r="G69" s="14">
        <f>P_i!A66</f>
        <v>0.64</v>
      </c>
      <c r="H69" s="26">
        <f>P_i!C66</f>
        <v>1.5860000000000001</v>
      </c>
      <c r="I69" s="26">
        <v>1.2376</v>
      </c>
    </row>
    <row r="70" spans="7:9" x14ac:dyDescent="0.3">
      <c r="G70" s="14">
        <f>P_i!A67</f>
        <v>0.65</v>
      </c>
      <c r="H70" s="26">
        <f>P_i!C67</f>
        <v>1.5212000000000001</v>
      </c>
      <c r="I70" s="26">
        <v>1.1869799999999999</v>
      </c>
    </row>
    <row r="71" spans="7:9" x14ac:dyDescent="0.3">
      <c r="G71" s="14">
        <f>P_i!A68</f>
        <v>0.66</v>
      </c>
      <c r="H71" s="26">
        <f>P_i!C68</f>
        <v>1.45634</v>
      </c>
      <c r="I71" s="26">
        <v>1.13375</v>
      </c>
    </row>
    <row r="72" spans="7:9" x14ac:dyDescent="0.3">
      <c r="G72" s="14">
        <f>P_i!A69</f>
        <v>0.67</v>
      </c>
      <c r="H72" s="26">
        <f>P_i!C69</f>
        <v>1.3916900000000001</v>
      </c>
      <c r="I72" s="26">
        <v>1.07819</v>
      </c>
    </row>
    <row r="73" spans="7:9" x14ac:dyDescent="0.3">
      <c r="G73" s="14">
        <f>P_i!A70</f>
        <v>0.68</v>
      </c>
      <c r="H73" s="26">
        <f>P_i!C70</f>
        <v>1.32734</v>
      </c>
      <c r="I73" s="26">
        <v>1.0206500000000001</v>
      </c>
    </row>
    <row r="74" spans="7:9" x14ac:dyDescent="0.3">
      <c r="G74" s="14">
        <f>P_i!A71</f>
        <v>0.69</v>
      </c>
      <c r="H74" s="26">
        <f>P_i!C71</f>
        <v>1.26335</v>
      </c>
      <c r="I74" s="26">
        <v>0.96155199999999996</v>
      </c>
    </row>
    <row r="75" spans="7:9" x14ac:dyDescent="0.3">
      <c r="G75" s="14">
        <f>P_i!A72</f>
        <v>0.7</v>
      </c>
      <c r="H75" s="26">
        <f>P_i!C72</f>
        <v>1.1997100000000001</v>
      </c>
      <c r="I75" s="26">
        <v>0.901362</v>
      </c>
    </row>
    <row r="76" spans="7:9" x14ac:dyDescent="0.3">
      <c r="G76" s="14">
        <f>P_i!A73</f>
        <v>0.71</v>
      </c>
      <c r="H76" s="26">
        <f>P_i!C73</f>
        <v>1.13642</v>
      </c>
      <c r="I76" s="26">
        <v>0.84057199999999999</v>
      </c>
    </row>
    <row r="77" spans="7:9" x14ac:dyDescent="0.3">
      <c r="G77" s="14">
        <f>P_i!A74</f>
        <v>0.72</v>
      </c>
      <c r="H77" s="26">
        <f>P_i!C74</f>
        <v>1.07348</v>
      </c>
      <c r="I77" s="26">
        <v>0.779694</v>
      </c>
    </row>
    <row r="78" spans="7:9" x14ac:dyDescent="0.3">
      <c r="G78" s="14">
        <f>P_i!A75</f>
        <v>0.73</v>
      </c>
      <c r="H78" s="26">
        <f>P_i!C75</f>
        <v>1.0109399999999999</v>
      </c>
      <c r="I78" s="26">
        <v>0.71923700000000002</v>
      </c>
    </row>
    <row r="79" spans="7:9" x14ac:dyDescent="0.3">
      <c r="G79" s="14">
        <f>P_i!A76</f>
        <v>0.74</v>
      </c>
      <c r="H79" s="26">
        <f>P_i!C76</f>
        <v>0.94887699999999997</v>
      </c>
      <c r="I79" s="26">
        <v>0.65969999999999995</v>
      </c>
    </row>
    <row r="80" spans="7:9" x14ac:dyDescent="0.3">
      <c r="G80" s="14">
        <f>P_i!A77</f>
        <v>0.75</v>
      </c>
      <c r="H80" s="26">
        <f>P_i!C77</f>
        <v>0.88741899999999996</v>
      </c>
      <c r="I80" s="26">
        <v>0.601553</v>
      </c>
    </row>
    <row r="81" spans="7:9" x14ac:dyDescent="0.3">
      <c r="G81" s="14">
        <f>P_i!A78</f>
        <v>0.76</v>
      </c>
      <c r="H81" s="26">
        <f>P_i!C78</f>
        <v>0.82672699999999999</v>
      </c>
      <c r="I81" s="26">
        <v>0.54523500000000003</v>
      </c>
    </row>
    <row r="82" spans="7:9" x14ac:dyDescent="0.3">
      <c r="G82" s="14">
        <f>P_i!A79</f>
        <v>0.77</v>
      </c>
      <c r="H82" s="26">
        <f>P_i!C79</f>
        <v>0.76699700000000004</v>
      </c>
      <c r="I82" s="26">
        <v>0.49113600000000002</v>
      </c>
    </row>
    <row r="83" spans="7:9" x14ac:dyDescent="0.3">
      <c r="G83" s="14">
        <f>P_i!A80</f>
        <v>0.78</v>
      </c>
      <c r="H83" s="26">
        <f>P_i!C80</f>
        <v>0.708453</v>
      </c>
      <c r="I83" s="26">
        <v>0.43959700000000002</v>
      </c>
    </row>
    <row r="84" spans="7:9" x14ac:dyDescent="0.3">
      <c r="G84" s="14">
        <f>P_i!A81</f>
        <v>0.79</v>
      </c>
      <c r="H84" s="26">
        <f>P_i!C81</f>
        <v>0.651335</v>
      </c>
      <c r="I84" s="26">
        <v>0.390901</v>
      </c>
    </row>
    <row r="85" spans="7:9" x14ac:dyDescent="0.3">
      <c r="G85" s="14">
        <f>P_i!A82</f>
        <v>0.8</v>
      </c>
      <c r="H85" s="26">
        <f>P_i!C82</f>
        <v>0.59589300000000001</v>
      </c>
      <c r="I85" s="26">
        <v>0.34527200000000002</v>
      </c>
    </row>
    <row r="86" spans="7:9" x14ac:dyDescent="0.3">
      <c r="G86" s="14">
        <f>P_i!A83</f>
        <v>0.81</v>
      </c>
      <c r="H86" s="26">
        <f>P_i!C83</f>
        <v>0.54237500000000005</v>
      </c>
      <c r="I86" s="26">
        <v>0.30287399999999998</v>
      </c>
    </row>
    <row r="87" spans="7:9" x14ac:dyDescent="0.3">
      <c r="G87" s="14">
        <f>P_i!A84</f>
        <v>0.82</v>
      </c>
      <c r="H87" s="26">
        <f>P_i!C84</f>
        <v>0.49102000000000001</v>
      </c>
      <c r="I87" s="26">
        <v>0.26380799999999999</v>
      </c>
    </row>
    <row r="88" spans="7:9" x14ac:dyDescent="0.3">
      <c r="G88" s="14">
        <f>P_i!A85</f>
        <v>0.83</v>
      </c>
      <c r="H88" s="26">
        <f>P_i!C85</f>
        <v>0.44204700000000002</v>
      </c>
      <c r="I88" s="26">
        <v>0.22811799999999999</v>
      </c>
    </row>
    <row r="89" spans="7:9" x14ac:dyDescent="0.3">
      <c r="G89" s="14">
        <f>P_i!A86</f>
        <v>0.84</v>
      </c>
      <c r="H89" s="26">
        <f>P_i!C86</f>
        <v>0.395652</v>
      </c>
      <c r="I89" s="26">
        <v>0.19579099999999999</v>
      </c>
    </row>
    <row r="90" spans="7:9" x14ac:dyDescent="0.3">
      <c r="G90" s="14">
        <f>P_i!A87</f>
        <v>0.85</v>
      </c>
      <c r="H90" s="26">
        <f>P_i!C87</f>
        <v>0.351997</v>
      </c>
      <c r="I90" s="26">
        <v>0.166765</v>
      </c>
    </row>
    <row r="91" spans="7:9" x14ac:dyDescent="0.3">
      <c r="G91" s="14">
        <f>P_i!A88</f>
        <v>0.86</v>
      </c>
      <c r="H91" s="26">
        <f>P_i!C88</f>
        <v>0.31121100000000002</v>
      </c>
      <c r="I91" s="26">
        <v>0.140932</v>
      </c>
    </row>
    <row r="92" spans="7:9" x14ac:dyDescent="0.3">
      <c r="G92" s="14">
        <f>P_i!A89</f>
        <v>0.87</v>
      </c>
      <c r="H92" s="26">
        <f>P_i!C89</f>
        <v>0.27338200000000001</v>
      </c>
      <c r="I92" s="26">
        <v>0.118146</v>
      </c>
    </row>
    <row r="93" spans="7:9" x14ac:dyDescent="0.3">
      <c r="G93" s="14">
        <f>P_i!A90</f>
        <v>0.88</v>
      </c>
      <c r="H93" s="26">
        <f>P_i!C90</f>
        <v>0.23855699999999999</v>
      </c>
      <c r="I93" s="26">
        <v>9.8230100000000001E-2</v>
      </c>
    </row>
    <row r="94" spans="7:9" x14ac:dyDescent="0.3">
      <c r="G94" s="14">
        <f>P_i!A91</f>
        <v>0.89</v>
      </c>
      <c r="H94" s="26">
        <f>P_i!C91</f>
        <v>0.20674600000000001</v>
      </c>
      <c r="I94" s="26">
        <v>8.0983899999999998E-2</v>
      </c>
    </row>
    <row r="95" spans="7:9" x14ac:dyDescent="0.3">
      <c r="G95" s="14">
        <f>P_i!A92</f>
        <v>0.9</v>
      </c>
      <c r="H95" s="26">
        <f>P_i!C92</f>
        <v>0.17791499999999999</v>
      </c>
      <c r="I95" s="26">
        <v>6.6189499999999998E-2</v>
      </c>
    </row>
    <row r="96" spans="7:9" x14ac:dyDescent="0.3">
      <c r="G96" s="14">
        <f>P_i!A93</f>
        <v>0.91</v>
      </c>
      <c r="H96" s="26">
        <f>P_i!C93</f>
        <v>0.15199499999999999</v>
      </c>
      <c r="I96" s="26">
        <v>5.36195E-2</v>
      </c>
    </row>
    <row r="97" spans="7:9" x14ac:dyDescent="0.3">
      <c r="G97" s="14">
        <f>P_i!A94</f>
        <v>0.92</v>
      </c>
      <c r="H97" s="26">
        <f>P_i!C94</f>
        <v>0.128885</v>
      </c>
      <c r="I97" s="26">
        <v>4.30433E-2</v>
      </c>
    </row>
    <row r="98" spans="7:9" x14ac:dyDescent="0.3">
      <c r="G98" s="14">
        <f>P_i!A95</f>
        <v>0.93</v>
      </c>
      <c r="H98" s="26">
        <f>P_i!C95</f>
        <v>0.10845200000000001</v>
      </c>
      <c r="I98" s="26">
        <v>3.4232899999999997E-2</v>
      </c>
    </row>
    <row r="99" spans="7:9" x14ac:dyDescent="0.3">
      <c r="G99" s="14">
        <f>P_i!A96</f>
        <v>0.94</v>
      </c>
      <c r="H99" s="26">
        <f>P_i!C96</f>
        <v>9.0543100000000001E-2</v>
      </c>
      <c r="I99" s="26">
        <v>2.6967399999999999E-2</v>
      </c>
    </row>
    <row r="100" spans="7:9" x14ac:dyDescent="0.3">
      <c r="G100" s="14">
        <f>P_i!A97</f>
        <v>0.95</v>
      </c>
      <c r="H100" s="26">
        <f>P_i!C97</f>
        <v>7.4982599999999996E-2</v>
      </c>
      <c r="I100" s="26">
        <v>2.10376E-2</v>
      </c>
    </row>
    <row r="101" spans="7:9" x14ac:dyDescent="0.3">
      <c r="G101" s="14">
        <f>P_i!A98</f>
        <v>0.96</v>
      </c>
      <c r="H101" s="26">
        <f>P_i!C98</f>
        <v>6.1583600000000002E-2</v>
      </c>
      <c r="I101" s="26">
        <v>1.6248499999999999E-2</v>
      </c>
    </row>
    <row r="102" spans="7:9" x14ac:dyDescent="0.3">
      <c r="G102" s="14">
        <f>P_i!A99</f>
        <v>0.97</v>
      </c>
      <c r="H102" s="26">
        <f>P_i!C99</f>
        <v>5.0151000000000001E-2</v>
      </c>
      <c r="I102" s="26">
        <v>1.24221E-2</v>
      </c>
    </row>
    <row r="103" spans="7:9" x14ac:dyDescent="0.3">
      <c r="G103" s="14">
        <f>P_i!A100</f>
        <v>0.98</v>
      </c>
      <c r="H103" s="26">
        <f>P_i!C100</f>
        <v>4.0486899999999999E-2</v>
      </c>
      <c r="I103" s="26">
        <v>9.3979900000000002E-3</v>
      </c>
    </row>
    <row r="104" spans="7:9" x14ac:dyDescent="0.3">
      <c r="G104" s="14">
        <f>P_i!A101</f>
        <v>0.99</v>
      </c>
      <c r="H104" s="26">
        <f>P_i!C101</f>
        <v>3.2395100000000003E-2</v>
      </c>
      <c r="I104" s="26">
        <v>7.0345099999999999E-3</v>
      </c>
    </row>
    <row r="105" spans="7:9" x14ac:dyDescent="0.3">
      <c r="G105" s="14">
        <f>P_i!A102</f>
        <v>1</v>
      </c>
      <c r="H105" s="26">
        <f>P_i!C102</f>
        <v>2.5685099999999999E-2</v>
      </c>
      <c r="I105" s="26">
        <v>5.2081999999999996E-3</v>
      </c>
    </row>
  </sheetData>
  <mergeCells count="3">
    <mergeCell ref="H1:K1"/>
    <mergeCell ref="M1:P1"/>
    <mergeCell ref="R1: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E07E-F90B-4BF7-9CA6-A09DD019F86B}">
  <dimension ref="A1:V113"/>
  <sheetViews>
    <sheetView zoomScale="70" zoomScaleNormal="70" workbookViewId="0">
      <selection activeCell="I11" sqref="I11"/>
    </sheetView>
  </sheetViews>
  <sheetFormatPr baseColWidth="10" defaultRowHeight="14.4" x14ac:dyDescent="0.3"/>
  <cols>
    <col min="13" max="14" width="17.6640625" bestFit="1" customWidth="1"/>
  </cols>
  <sheetData>
    <row r="1" spans="1:22" x14ac:dyDescent="0.3">
      <c r="H1" s="29" t="s">
        <v>17</v>
      </c>
      <c r="I1" s="29"/>
      <c r="J1" s="29"/>
      <c r="K1" s="29"/>
      <c r="M1" s="29" t="s">
        <v>16</v>
      </c>
      <c r="N1" s="29"/>
      <c r="O1" s="29"/>
      <c r="P1" s="29"/>
      <c r="R1" s="29" t="s">
        <v>35</v>
      </c>
      <c r="S1" s="29"/>
      <c r="T1" s="29"/>
      <c r="U1" s="29"/>
    </row>
    <row r="2" spans="1:22" x14ac:dyDescent="0.3">
      <c r="A2" s="6" t="s">
        <v>18</v>
      </c>
      <c r="B2" s="2" t="s">
        <v>12</v>
      </c>
      <c r="C2" s="2" t="s">
        <v>27</v>
      </c>
      <c r="D2" s="2" t="s">
        <v>28</v>
      </c>
      <c r="E2" s="2" t="s">
        <v>29</v>
      </c>
      <c r="F2" s="2" t="s">
        <v>30</v>
      </c>
      <c r="H2" s="2" t="s">
        <v>0</v>
      </c>
      <c r="I2" s="2" t="s">
        <v>1</v>
      </c>
      <c r="J2" s="2" t="s">
        <v>2</v>
      </c>
      <c r="K2" s="2" t="s">
        <v>3</v>
      </c>
      <c r="M2" s="2" t="s">
        <v>33</v>
      </c>
      <c r="N2" s="2" t="s">
        <v>34</v>
      </c>
      <c r="O2" s="2" t="s">
        <v>31</v>
      </c>
      <c r="P2" s="2" t="s">
        <v>32</v>
      </c>
      <c r="R2" s="2" t="s">
        <v>36</v>
      </c>
      <c r="S2" s="2" t="s">
        <v>37</v>
      </c>
      <c r="T2" s="2" t="s">
        <v>38</v>
      </c>
      <c r="U2" s="2" t="s">
        <v>39</v>
      </c>
    </row>
    <row r="3" spans="1:22" x14ac:dyDescent="0.3">
      <c r="A3" s="3">
        <v>3</v>
      </c>
      <c r="B3" s="2">
        <v>1</v>
      </c>
      <c r="C3" s="2">
        <v>5</v>
      </c>
      <c r="D3" s="2">
        <v>10</v>
      </c>
      <c r="E3" s="2">
        <v>5</v>
      </c>
      <c r="F3" s="2">
        <v>5</v>
      </c>
      <c r="H3" s="2">
        <f>M3-C3</f>
        <v>11</v>
      </c>
      <c r="I3" s="2">
        <f t="shared" ref="I3:K4" si="0">N3-D3</f>
        <v>3</v>
      </c>
      <c r="J3" s="2">
        <f t="shared" si="0"/>
        <v>0</v>
      </c>
      <c r="K3" s="2">
        <f t="shared" si="0"/>
        <v>5</v>
      </c>
      <c r="M3" s="2">
        <v>16</v>
      </c>
      <c r="N3" s="2">
        <v>13</v>
      </c>
      <c r="O3" s="2">
        <v>5</v>
      </c>
      <c r="P3" s="2">
        <v>10</v>
      </c>
      <c r="R3" s="2">
        <v>17</v>
      </c>
      <c r="S3" s="2">
        <v>11</v>
      </c>
      <c r="T3" s="2">
        <v>5</v>
      </c>
      <c r="U3" s="2">
        <v>5</v>
      </c>
      <c r="V3" s="1" t="s">
        <v>45</v>
      </c>
    </row>
    <row r="4" spans="1:22" x14ac:dyDescent="0.3">
      <c r="A4" s="3">
        <v>8</v>
      </c>
      <c r="B4" s="2">
        <v>2</v>
      </c>
      <c r="C4" s="2">
        <v>10</v>
      </c>
      <c r="D4" s="2">
        <v>15</v>
      </c>
      <c r="E4" s="2">
        <v>15</v>
      </c>
      <c r="F4" s="2">
        <v>30</v>
      </c>
      <c r="H4" s="2">
        <f>M4-C4</f>
        <v>10</v>
      </c>
      <c r="I4" s="2">
        <f t="shared" si="0"/>
        <v>18</v>
      </c>
      <c r="J4" s="2">
        <f t="shared" si="0"/>
        <v>5</v>
      </c>
      <c r="K4" s="2">
        <f t="shared" si="0"/>
        <v>10</v>
      </c>
      <c r="M4" s="2">
        <v>20</v>
      </c>
      <c r="N4" s="2">
        <v>33</v>
      </c>
      <c r="O4" s="2">
        <v>20</v>
      </c>
      <c r="P4" s="2">
        <v>40</v>
      </c>
      <c r="R4" s="2">
        <v>21</v>
      </c>
      <c r="S4" s="2">
        <v>28</v>
      </c>
      <c r="T4" s="2">
        <v>15</v>
      </c>
      <c r="U4" s="2">
        <v>30</v>
      </c>
      <c r="V4" s="1" t="s">
        <v>45</v>
      </c>
    </row>
    <row r="5" spans="1:22" x14ac:dyDescent="0.3">
      <c r="A5" s="3">
        <v>9</v>
      </c>
      <c r="B5" s="2">
        <v>3</v>
      </c>
      <c r="C5" s="2">
        <v>5</v>
      </c>
      <c r="D5" s="2">
        <v>5</v>
      </c>
      <c r="E5" s="2">
        <v>5</v>
      </c>
      <c r="F5" s="2">
        <v>20</v>
      </c>
      <c r="H5" s="2">
        <f>M5-C5</f>
        <v>12</v>
      </c>
      <c r="I5" s="2">
        <f t="shared" ref="I5" si="1">N5-D5</f>
        <v>22</v>
      </c>
      <c r="J5" s="2">
        <f t="shared" ref="J5" si="2">O5-E5</f>
        <v>5</v>
      </c>
      <c r="K5" s="2">
        <f t="shared" ref="K5" si="3">P5-F5</f>
        <v>10</v>
      </c>
      <c r="M5" s="2">
        <v>17</v>
      </c>
      <c r="N5" s="2">
        <v>27</v>
      </c>
      <c r="O5" s="2">
        <v>10</v>
      </c>
      <c r="P5" s="2">
        <v>30</v>
      </c>
      <c r="R5" s="2">
        <v>16</v>
      </c>
      <c r="S5" s="2">
        <v>21</v>
      </c>
      <c r="T5" s="2">
        <v>6</v>
      </c>
      <c r="U5" s="2">
        <v>20</v>
      </c>
      <c r="V5" s="1" t="s">
        <v>45</v>
      </c>
    </row>
    <row r="6" spans="1:22" x14ac:dyDescent="0.3">
      <c r="A6" s="3">
        <v>11</v>
      </c>
      <c r="B6" s="2">
        <v>4</v>
      </c>
      <c r="C6" s="2">
        <v>10</v>
      </c>
      <c r="D6" s="2">
        <v>5</v>
      </c>
      <c r="E6" s="2">
        <v>15</v>
      </c>
      <c r="F6" s="2">
        <v>5</v>
      </c>
      <c r="H6" s="2">
        <f>M6-C6</f>
        <v>16</v>
      </c>
      <c r="I6" s="2">
        <f>N6-D6</f>
        <v>8</v>
      </c>
      <c r="J6" s="2">
        <v>5</v>
      </c>
      <c r="K6" s="2">
        <v>5</v>
      </c>
      <c r="M6" s="2">
        <v>26</v>
      </c>
      <c r="N6" s="2">
        <v>13</v>
      </c>
      <c r="O6" s="2">
        <v>20</v>
      </c>
      <c r="P6" s="2">
        <v>10</v>
      </c>
      <c r="R6" s="2">
        <v>26</v>
      </c>
      <c r="S6" s="2">
        <v>11</v>
      </c>
      <c r="T6" s="2">
        <v>15</v>
      </c>
      <c r="U6" s="2">
        <v>7</v>
      </c>
      <c r="V6" s="1" t="s">
        <v>45</v>
      </c>
    </row>
    <row r="8" spans="1:22" x14ac:dyDescent="0.3">
      <c r="B8" s="2"/>
      <c r="C8" s="2" t="s">
        <v>14</v>
      </c>
    </row>
    <row r="9" spans="1:22" x14ac:dyDescent="0.3">
      <c r="B9" s="2" t="s">
        <v>13</v>
      </c>
      <c r="C9" s="2">
        <v>1</v>
      </c>
      <c r="I9" s="31" t="s">
        <v>47</v>
      </c>
      <c r="J9" s="31"/>
      <c r="K9" s="31"/>
      <c r="L9" s="31"/>
      <c r="N9" s="31" t="s">
        <v>46</v>
      </c>
      <c r="O9" s="31"/>
      <c r="P9" s="31"/>
      <c r="Q9" s="31"/>
    </row>
    <row r="10" spans="1:22" x14ac:dyDescent="0.3">
      <c r="B10" s="2" t="s">
        <v>4</v>
      </c>
      <c r="C10" s="2">
        <v>1</v>
      </c>
      <c r="H10" s="9"/>
      <c r="I10" s="4" t="s">
        <v>21</v>
      </c>
      <c r="J10" s="4" t="s">
        <v>22</v>
      </c>
      <c r="K10" s="4" t="s">
        <v>23</v>
      </c>
      <c r="L10" s="4" t="s">
        <v>24</v>
      </c>
      <c r="N10" s="4" t="s">
        <v>21</v>
      </c>
      <c r="O10" s="4" t="s">
        <v>22</v>
      </c>
      <c r="P10" s="4" t="s">
        <v>23</v>
      </c>
      <c r="Q10" s="4" t="s">
        <v>24</v>
      </c>
    </row>
    <row r="11" spans="1:22" x14ac:dyDescent="0.3">
      <c r="B11" s="2" t="s">
        <v>5</v>
      </c>
      <c r="C11" s="2">
        <v>0.25</v>
      </c>
      <c r="H11" s="8">
        <v>0.01</v>
      </c>
      <c r="I11">
        <v>1.3816200000000001</v>
      </c>
      <c r="J11">
        <v>0.75972600000000001</v>
      </c>
      <c r="K11">
        <v>0.96404199999999995</v>
      </c>
      <c r="L11">
        <v>1.0615300000000001</v>
      </c>
      <c r="M11" s="8">
        <v>0.01</v>
      </c>
      <c r="N11">
        <v>1.58016</v>
      </c>
      <c r="O11">
        <v>0.92891199999999996</v>
      </c>
      <c r="P11">
        <v>1.2029300000000001</v>
      </c>
      <c r="Q11">
        <v>1.23583</v>
      </c>
    </row>
    <row r="12" spans="1:22" x14ac:dyDescent="0.3">
      <c r="B12" s="2" t="s">
        <v>6</v>
      </c>
      <c r="C12" s="2">
        <v>0.5</v>
      </c>
      <c r="H12" s="8">
        <v>0.02</v>
      </c>
      <c r="I12">
        <v>1.3851599999999999</v>
      </c>
      <c r="J12">
        <v>0.76183900000000004</v>
      </c>
      <c r="K12">
        <v>0.96663600000000005</v>
      </c>
      <c r="L12">
        <v>1.0644400000000001</v>
      </c>
      <c r="M12" s="8">
        <v>0.02</v>
      </c>
      <c r="N12">
        <v>1.5841799999999999</v>
      </c>
      <c r="O12">
        <v>0.93144400000000005</v>
      </c>
      <c r="P12">
        <v>1.2060599999999999</v>
      </c>
      <c r="Q12">
        <v>1.23915</v>
      </c>
    </row>
    <row r="13" spans="1:22" x14ac:dyDescent="0.3">
      <c r="B13" s="2" t="s">
        <v>7</v>
      </c>
      <c r="C13" s="2">
        <v>1</v>
      </c>
      <c r="H13" s="8">
        <v>0.03</v>
      </c>
      <c r="I13">
        <v>1.3905400000000001</v>
      </c>
      <c r="J13">
        <v>0.76521799999999995</v>
      </c>
      <c r="K13">
        <v>0.97070000000000001</v>
      </c>
      <c r="L13">
        <v>1.0690500000000001</v>
      </c>
      <c r="M13" s="8">
        <v>0.03</v>
      </c>
      <c r="N13">
        <v>1.5902799999999999</v>
      </c>
      <c r="O13">
        <v>0.93544400000000005</v>
      </c>
      <c r="P13">
        <v>1.21086</v>
      </c>
      <c r="Q13">
        <v>1.2443500000000001</v>
      </c>
    </row>
    <row r="14" spans="1:22" x14ac:dyDescent="0.3">
      <c r="B14" s="2" t="s">
        <v>8</v>
      </c>
      <c r="C14" s="2">
        <v>1</v>
      </c>
      <c r="H14" s="8">
        <v>0.04</v>
      </c>
      <c r="I14">
        <v>1.3974500000000001</v>
      </c>
      <c r="J14">
        <v>0.76977300000000004</v>
      </c>
      <c r="K14">
        <v>0.97607299999999997</v>
      </c>
      <c r="L14">
        <v>1.0751999999999999</v>
      </c>
      <c r="M14" s="8">
        <v>0.04</v>
      </c>
      <c r="N14">
        <v>1.5981000000000001</v>
      </c>
      <c r="O14">
        <v>0.94077200000000005</v>
      </c>
      <c r="P14">
        <v>1.2170799999999999</v>
      </c>
      <c r="Q14">
        <v>1.25122</v>
      </c>
    </row>
    <row r="15" spans="1:22" x14ac:dyDescent="0.3">
      <c r="B15" s="2" t="s">
        <v>9</v>
      </c>
      <c r="C15" s="2">
        <v>200</v>
      </c>
      <c r="H15" s="8">
        <v>0.05</v>
      </c>
      <c r="I15">
        <v>1.40564</v>
      </c>
      <c r="J15">
        <v>0.77543099999999998</v>
      </c>
      <c r="K15">
        <v>0.98262400000000005</v>
      </c>
      <c r="L15">
        <v>1.08277</v>
      </c>
      <c r="M15" s="8">
        <v>0.05</v>
      </c>
      <c r="N15">
        <v>1.6073299999999999</v>
      </c>
      <c r="O15">
        <v>0.94731600000000005</v>
      </c>
      <c r="P15">
        <v>1.2245200000000001</v>
      </c>
      <c r="Q15">
        <v>1.25959</v>
      </c>
    </row>
    <row r="16" spans="1:22" x14ac:dyDescent="0.3">
      <c r="B16" s="2" t="s">
        <v>10</v>
      </c>
      <c r="C16" s="2">
        <v>0.5</v>
      </c>
      <c r="H16" s="8">
        <v>0.06</v>
      </c>
      <c r="I16">
        <v>1.4149099999999999</v>
      </c>
      <c r="J16">
        <v>0.78213600000000005</v>
      </c>
      <c r="K16">
        <v>0.99024500000000004</v>
      </c>
      <c r="L16">
        <v>1.09168</v>
      </c>
      <c r="M16" s="8">
        <v>0.06</v>
      </c>
      <c r="N16">
        <v>1.61774</v>
      </c>
      <c r="O16">
        <v>0.95498400000000006</v>
      </c>
      <c r="P16">
        <v>1.2330099999999999</v>
      </c>
      <c r="Q16">
        <v>1.2693099999999999</v>
      </c>
    </row>
    <row r="17" spans="2:17" x14ac:dyDescent="0.3">
      <c r="B17" s="2" t="s">
        <v>11</v>
      </c>
      <c r="C17" s="2">
        <v>0.65</v>
      </c>
      <c r="H17" s="8">
        <v>7.0000000000000007E-2</v>
      </c>
      <c r="I17">
        <v>1.42509</v>
      </c>
      <c r="J17">
        <v>0.78984100000000002</v>
      </c>
      <c r="K17">
        <v>0.99884899999999999</v>
      </c>
      <c r="L17">
        <v>1.10182</v>
      </c>
      <c r="M17" s="8">
        <v>7.0000000000000007E-2</v>
      </c>
      <c r="N17">
        <v>1.6291500000000001</v>
      </c>
      <c r="O17">
        <v>0.96370299999999998</v>
      </c>
      <c r="P17">
        <v>1.24241</v>
      </c>
      <c r="Q17">
        <v>1.2802800000000001</v>
      </c>
    </row>
    <row r="18" spans="2:17" x14ac:dyDescent="0.3">
      <c r="H18" s="8">
        <v>0.08</v>
      </c>
      <c r="I18">
        <v>1.43604</v>
      </c>
      <c r="J18">
        <v>0.79851099999999997</v>
      </c>
      <c r="K18">
        <v>1.0083599999999999</v>
      </c>
      <c r="L18">
        <v>1.1131500000000001</v>
      </c>
      <c r="M18" s="8">
        <v>0.08</v>
      </c>
      <c r="N18">
        <v>1.6413899999999999</v>
      </c>
      <c r="O18">
        <v>0.97340899999999997</v>
      </c>
      <c r="P18">
        <v>1.2526200000000001</v>
      </c>
      <c r="Q18">
        <v>1.2924</v>
      </c>
    </row>
    <row r="19" spans="2:17" x14ac:dyDescent="0.3">
      <c r="H19" s="8">
        <v>0.09</v>
      </c>
      <c r="I19">
        <v>1.4476599999999999</v>
      </c>
      <c r="J19">
        <v>0.80811699999999997</v>
      </c>
      <c r="K19">
        <v>1.0187200000000001</v>
      </c>
      <c r="L19">
        <v>1.1255900000000001</v>
      </c>
      <c r="M19" s="8">
        <v>0.09</v>
      </c>
      <c r="N19">
        <v>1.6543300000000001</v>
      </c>
      <c r="O19">
        <v>0.98405200000000004</v>
      </c>
      <c r="P19">
        <v>1.2635400000000001</v>
      </c>
      <c r="Q19">
        <v>1.30559</v>
      </c>
    </row>
    <row r="20" spans="2:17" x14ac:dyDescent="0.3">
      <c r="H20" s="8">
        <v>0.1</v>
      </c>
      <c r="I20">
        <v>1.45983</v>
      </c>
      <c r="J20">
        <v>0.81863799999999998</v>
      </c>
      <c r="K20">
        <v>1.0298700000000001</v>
      </c>
      <c r="L20">
        <v>1.1391100000000001</v>
      </c>
      <c r="M20" s="8">
        <v>0.1</v>
      </c>
      <c r="N20">
        <v>1.6678500000000001</v>
      </c>
      <c r="O20">
        <v>0.99558599999999997</v>
      </c>
      <c r="P20">
        <v>1.2750699999999999</v>
      </c>
      <c r="Q20">
        <v>1.31978</v>
      </c>
    </row>
    <row r="21" spans="2:17" x14ac:dyDescent="0.3">
      <c r="H21" s="8">
        <v>0.11</v>
      </c>
      <c r="I21">
        <v>1.47245</v>
      </c>
      <c r="J21">
        <v>0.83005499999999999</v>
      </c>
      <c r="K21">
        <v>1.04176</v>
      </c>
      <c r="L21">
        <v>1.15367</v>
      </c>
      <c r="M21" s="8">
        <v>0.11</v>
      </c>
      <c r="N21">
        <v>1.6818200000000001</v>
      </c>
      <c r="O21">
        <v>1.00797</v>
      </c>
      <c r="P21">
        <v>1.28714</v>
      </c>
      <c r="Q21">
        <v>1.3348899999999999</v>
      </c>
    </row>
    <row r="22" spans="2:17" x14ac:dyDescent="0.3">
      <c r="H22" s="8">
        <v>0.12</v>
      </c>
      <c r="I22">
        <v>1.4854400000000001</v>
      </c>
      <c r="J22">
        <v>0.84235499999999996</v>
      </c>
      <c r="K22">
        <v>1.0543400000000001</v>
      </c>
      <c r="L22">
        <v>1.16923</v>
      </c>
      <c r="M22" s="8">
        <v>0.12</v>
      </c>
      <c r="N22">
        <v>1.6961599999999999</v>
      </c>
      <c r="O22">
        <v>1.02118</v>
      </c>
      <c r="P22">
        <v>1.2996700000000001</v>
      </c>
      <c r="Q22">
        <v>1.3508800000000001</v>
      </c>
    </row>
    <row r="23" spans="2:17" x14ac:dyDescent="0.3">
      <c r="H23" s="8">
        <v>0.13</v>
      </c>
      <c r="I23">
        <v>1.49871</v>
      </c>
      <c r="J23">
        <v>0.85552700000000004</v>
      </c>
      <c r="K23">
        <v>1.06758</v>
      </c>
      <c r="L23">
        <v>1.1857500000000001</v>
      </c>
      <c r="M23" s="8">
        <v>0.13</v>
      </c>
      <c r="N23">
        <v>1.71075</v>
      </c>
      <c r="O23">
        <v>1.0351600000000001</v>
      </c>
      <c r="P23">
        <v>1.3125899999999999</v>
      </c>
      <c r="Q23">
        <v>1.3676900000000001</v>
      </c>
    </row>
    <row r="24" spans="2:17" x14ac:dyDescent="0.3">
      <c r="H24" s="8">
        <v>0.14000000000000001</v>
      </c>
      <c r="I24">
        <v>1.5121599999999999</v>
      </c>
      <c r="J24">
        <v>0.86956100000000003</v>
      </c>
      <c r="K24">
        <v>1.08142</v>
      </c>
      <c r="L24">
        <v>1.2032</v>
      </c>
      <c r="M24" s="8">
        <v>0.14000000000000001</v>
      </c>
      <c r="N24">
        <v>1.7255</v>
      </c>
      <c r="O24">
        <v>1.0499000000000001</v>
      </c>
      <c r="P24">
        <v>1.3258300000000001</v>
      </c>
      <c r="Q24">
        <v>1.3852500000000001</v>
      </c>
    </row>
    <row r="25" spans="2:17" x14ac:dyDescent="0.3">
      <c r="H25" s="8">
        <v>0.15</v>
      </c>
      <c r="I25">
        <v>1.52572</v>
      </c>
      <c r="J25">
        <v>0.88444800000000001</v>
      </c>
      <c r="K25">
        <v>1.0958399999999999</v>
      </c>
      <c r="L25">
        <v>1.22156</v>
      </c>
      <c r="M25" s="8">
        <v>0.15</v>
      </c>
      <c r="N25">
        <v>1.7403</v>
      </c>
      <c r="O25">
        <v>1.0653600000000001</v>
      </c>
      <c r="P25">
        <v>1.3393200000000001</v>
      </c>
      <c r="Q25">
        <v>1.40351</v>
      </c>
    </row>
    <row r="26" spans="2:17" x14ac:dyDescent="0.3">
      <c r="H26" s="8">
        <v>0.16</v>
      </c>
      <c r="I26">
        <v>1.53929</v>
      </c>
      <c r="J26">
        <v>0.90017999999999998</v>
      </c>
      <c r="K26">
        <v>1.11077</v>
      </c>
      <c r="L26">
        <v>1.2407900000000001</v>
      </c>
      <c r="M26" s="8">
        <v>0.16</v>
      </c>
      <c r="N26">
        <v>1.7550399999999999</v>
      </c>
      <c r="O26">
        <v>1.08151</v>
      </c>
      <c r="P26">
        <v>1.35297</v>
      </c>
      <c r="Q26">
        <v>1.42242</v>
      </c>
    </row>
    <row r="27" spans="2:17" x14ac:dyDescent="0.3">
      <c r="H27" s="8">
        <v>0.17</v>
      </c>
      <c r="I27">
        <v>1.5527599999999999</v>
      </c>
      <c r="J27">
        <v>0.91674999999999995</v>
      </c>
      <c r="K27">
        <v>1.1261699999999999</v>
      </c>
      <c r="L27">
        <v>1.26085</v>
      </c>
      <c r="M27" s="8">
        <v>0.17</v>
      </c>
      <c r="N27">
        <v>1.7696099999999999</v>
      </c>
      <c r="O27">
        <v>1.0983099999999999</v>
      </c>
      <c r="P27">
        <v>1.3667</v>
      </c>
      <c r="Q27">
        <v>1.44191</v>
      </c>
    </row>
    <row r="28" spans="2:17" x14ac:dyDescent="0.3">
      <c r="H28" s="8">
        <v>0.18</v>
      </c>
      <c r="I28">
        <v>1.5660400000000001</v>
      </c>
      <c r="J28">
        <v>0.934145</v>
      </c>
      <c r="K28">
        <v>1.1419999999999999</v>
      </c>
      <c r="L28">
        <v>1.2817000000000001</v>
      </c>
      <c r="M28" s="8">
        <v>0.18</v>
      </c>
      <c r="N28">
        <v>1.78389</v>
      </c>
      <c r="O28">
        <v>1.11572</v>
      </c>
      <c r="P28">
        <v>1.3804399999999999</v>
      </c>
      <c r="Q28">
        <v>1.4619</v>
      </c>
    </row>
    <row r="29" spans="2:17" x14ac:dyDescent="0.3">
      <c r="H29" s="8">
        <v>0.19</v>
      </c>
      <c r="I29">
        <v>1.57901</v>
      </c>
      <c r="J29">
        <v>0.95235700000000001</v>
      </c>
      <c r="K29">
        <v>1.1581900000000001</v>
      </c>
      <c r="L29">
        <v>1.30331</v>
      </c>
      <c r="M29" s="8">
        <v>0.19</v>
      </c>
      <c r="N29">
        <v>1.79775</v>
      </c>
      <c r="O29">
        <v>1.1336999999999999</v>
      </c>
      <c r="P29">
        <v>1.3940900000000001</v>
      </c>
      <c r="Q29">
        <v>1.48234</v>
      </c>
    </row>
    <row r="30" spans="2:17" x14ac:dyDescent="0.3">
      <c r="H30" s="8">
        <v>0.2</v>
      </c>
      <c r="I30">
        <v>1.5915699999999999</v>
      </c>
      <c r="J30">
        <v>0.97136900000000004</v>
      </c>
      <c r="K30">
        <v>1.1746799999999999</v>
      </c>
      <c r="L30">
        <v>1.3256300000000001</v>
      </c>
      <c r="M30" s="8">
        <v>0.2</v>
      </c>
      <c r="N30">
        <v>1.81105</v>
      </c>
      <c r="O30">
        <v>1.15221</v>
      </c>
      <c r="P30">
        <v>1.4075599999999999</v>
      </c>
      <c r="Q30">
        <v>1.5031300000000001</v>
      </c>
    </row>
    <row r="31" spans="2:17" x14ac:dyDescent="0.3">
      <c r="H31" s="8">
        <v>0.21</v>
      </c>
      <c r="I31">
        <v>1.60358</v>
      </c>
      <c r="J31">
        <v>0.99116499999999996</v>
      </c>
      <c r="K31">
        <v>1.1914199999999999</v>
      </c>
      <c r="L31">
        <v>1.3486</v>
      </c>
      <c r="M31" s="8">
        <v>0.21</v>
      </c>
      <c r="N31">
        <v>1.8236699999999999</v>
      </c>
      <c r="O31">
        <v>1.17119</v>
      </c>
      <c r="P31">
        <v>1.42073</v>
      </c>
      <c r="Q31">
        <v>1.5242</v>
      </c>
    </row>
    <row r="32" spans="2:17" x14ac:dyDescent="0.3">
      <c r="H32" s="8">
        <v>0.22</v>
      </c>
      <c r="I32">
        <v>1.6149199999999999</v>
      </c>
      <c r="J32">
        <v>1.01173</v>
      </c>
      <c r="K32">
        <v>1.2083200000000001</v>
      </c>
      <c r="L32">
        <v>1.37216</v>
      </c>
      <c r="M32" s="8">
        <v>0.22</v>
      </c>
      <c r="N32">
        <v>1.8354299999999999</v>
      </c>
      <c r="O32">
        <v>1.19059</v>
      </c>
      <c r="P32">
        <v>1.4335</v>
      </c>
      <c r="Q32">
        <v>1.5454399999999999</v>
      </c>
    </row>
    <row r="33" spans="8:17" x14ac:dyDescent="0.3">
      <c r="H33" s="8">
        <v>0.23</v>
      </c>
      <c r="I33">
        <v>1.6254500000000001</v>
      </c>
      <c r="J33">
        <v>1.03302</v>
      </c>
      <c r="K33">
        <v>1.2253099999999999</v>
      </c>
      <c r="L33">
        <v>1.3962600000000001</v>
      </c>
      <c r="M33" s="8">
        <v>0.23</v>
      </c>
      <c r="N33">
        <v>1.84619</v>
      </c>
      <c r="O33">
        <v>1.21035</v>
      </c>
      <c r="P33">
        <v>1.4457500000000001</v>
      </c>
      <c r="Q33">
        <v>1.5667500000000001</v>
      </c>
    </row>
    <row r="34" spans="8:17" x14ac:dyDescent="0.3">
      <c r="H34" s="8">
        <v>0.24</v>
      </c>
      <c r="I34">
        <v>1.63503</v>
      </c>
      <c r="J34">
        <v>1.0550299999999999</v>
      </c>
      <c r="K34">
        <v>1.2423</v>
      </c>
      <c r="L34">
        <v>1.4208000000000001</v>
      </c>
      <c r="M34" s="8">
        <v>0.24</v>
      </c>
      <c r="N34">
        <v>1.85578</v>
      </c>
      <c r="O34">
        <v>1.2303900000000001</v>
      </c>
      <c r="P34">
        <v>1.4573700000000001</v>
      </c>
      <c r="Q34">
        <v>1.58802</v>
      </c>
    </row>
    <row r="35" spans="8:17" x14ac:dyDescent="0.3">
      <c r="H35" s="8">
        <v>0.25</v>
      </c>
      <c r="I35">
        <v>1.6435</v>
      </c>
      <c r="J35">
        <v>1.0777099999999999</v>
      </c>
      <c r="K35">
        <v>1.2592099999999999</v>
      </c>
      <c r="L35">
        <v>1.4457199999999999</v>
      </c>
      <c r="M35" s="8">
        <v>0.25</v>
      </c>
      <c r="N35">
        <v>1.86402</v>
      </c>
      <c r="O35">
        <v>1.2506299999999999</v>
      </c>
      <c r="P35">
        <v>1.46821</v>
      </c>
      <c r="Q35">
        <v>1.6091200000000001</v>
      </c>
    </row>
    <row r="36" spans="8:17" x14ac:dyDescent="0.3">
      <c r="H36" s="8">
        <v>0.26</v>
      </c>
      <c r="I36">
        <v>1.65072</v>
      </c>
      <c r="J36">
        <v>1.1010200000000001</v>
      </c>
      <c r="K36">
        <v>1.2759199999999999</v>
      </c>
      <c r="L36">
        <v>1.4709000000000001</v>
      </c>
      <c r="M36" s="8">
        <v>0.26</v>
      </c>
      <c r="N36">
        <v>1.8707400000000001</v>
      </c>
      <c r="O36">
        <v>1.2709900000000001</v>
      </c>
      <c r="P36">
        <v>1.47814</v>
      </c>
      <c r="Q36">
        <v>1.62992</v>
      </c>
    </row>
    <row r="37" spans="8:17" x14ac:dyDescent="0.3">
      <c r="H37" s="8">
        <v>0.27</v>
      </c>
      <c r="I37">
        <v>1.6565099999999999</v>
      </c>
      <c r="J37">
        <v>1.1249199999999999</v>
      </c>
      <c r="K37">
        <v>1.29233</v>
      </c>
      <c r="L37">
        <v>1.4962599999999999</v>
      </c>
      <c r="M37" s="8">
        <v>0.27</v>
      </c>
      <c r="N37">
        <v>1.87574</v>
      </c>
      <c r="O37">
        <v>1.29138</v>
      </c>
      <c r="P37">
        <v>1.48702</v>
      </c>
      <c r="Q37">
        <v>1.65028</v>
      </c>
    </row>
    <row r="38" spans="8:17" x14ac:dyDescent="0.3">
      <c r="H38" s="8">
        <v>0.28000000000000003</v>
      </c>
      <c r="I38">
        <v>1.66072</v>
      </c>
      <c r="J38">
        <v>1.14934</v>
      </c>
      <c r="K38">
        <v>1.30833</v>
      </c>
      <c r="L38">
        <v>1.52166</v>
      </c>
      <c r="M38" s="8">
        <v>0.28000000000000003</v>
      </c>
      <c r="N38">
        <v>1.8788400000000001</v>
      </c>
      <c r="O38">
        <v>1.31169</v>
      </c>
      <c r="P38">
        <v>1.49471</v>
      </c>
      <c r="Q38">
        <v>1.6700299999999999</v>
      </c>
    </row>
    <row r="39" spans="8:17" x14ac:dyDescent="0.3">
      <c r="H39" s="8">
        <v>0.28999999999999998</v>
      </c>
      <c r="I39">
        <v>1.6631899999999999</v>
      </c>
      <c r="J39">
        <v>1.17422</v>
      </c>
      <c r="K39">
        <v>1.3238000000000001</v>
      </c>
      <c r="L39">
        <v>1.5469900000000001</v>
      </c>
      <c r="M39" s="8">
        <v>0.28999999999999998</v>
      </c>
      <c r="N39">
        <v>1.87984</v>
      </c>
      <c r="O39">
        <v>1.3318099999999999</v>
      </c>
      <c r="P39">
        <v>1.5010600000000001</v>
      </c>
      <c r="Q39">
        <v>1.6890099999999999</v>
      </c>
    </row>
    <row r="40" spans="8:17" x14ac:dyDescent="0.3">
      <c r="H40" s="8">
        <v>0.3</v>
      </c>
      <c r="I40">
        <v>1.6637500000000001</v>
      </c>
      <c r="J40">
        <v>1.1994899999999999</v>
      </c>
      <c r="K40">
        <v>1.3386</v>
      </c>
      <c r="L40">
        <v>1.5721000000000001</v>
      </c>
      <c r="M40" s="8">
        <v>0.3</v>
      </c>
      <c r="N40">
        <v>1.87856</v>
      </c>
      <c r="O40">
        <v>1.35162</v>
      </c>
      <c r="P40">
        <v>1.5059100000000001</v>
      </c>
      <c r="Q40">
        <v>1.7070399999999999</v>
      </c>
    </row>
    <row r="41" spans="8:17" x14ac:dyDescent="0.3">
      <c r="H41" s="8">
        <v>0.31</v>
      </c>
      <c r="I41">
        <v>1.6622600000000001</v>
      </c>
      <c r="J41">
        <v>1.2250700000000001</v>
      </c>
      <c r="K41">
        <v>1.3526100000000001</v>
      </c>
      <c r="L41">
        <v>1.59684</v>
      </c>
      <c r="M41" s="8">
        <v>0.31</v>
      </c>
      <c r="N41">
        <v>1.8748100000000001</v>
      </c>
      <c r="O41">
        <v>1.371</v>
      </c>
      <c r="P41">
        <v>1.5091399999999999</v>
      </c>
      <c r="Q41">
        <v>1.72393</v>
      </c>
    </row>
    <row r="42" spans="8:17" x14ac:dyDescent="0.3">
      <c r="H42" s="8">
        <v>0.32</v>
      </c>
      <c r="I42">
        <v>1.65855</v>
      </c>
      <c r="J42">
        <v>1.2508600000000001</v>
      </c>
      <c r="K42">
        <v>1.3656900000000001</v>
      </c>
      <c r="L42">
        <v>1.6210500000000001</v>
      </c>
      <c r="M42" s="8">
        <v>0.32</v>
      </c>
      <c r="N42">
        <v>1.8684000000000001</v>
      </c>
      <c r="O42">
        <v>1.38981</v>
      </c>
      <c r="P42">
        <v>1.51058</v>
      </c>
      <c r="Q42">
        <v>1.7394799999999999</v>
      </c>
    </row>
    <row r="43" spans="8:17" x14ac:dyDescent="0.3">
      <c r="H43" s="8">
        <v>0.33</v>
      </c>
      <c r="I43">
        <v>1.6525000000000001</v>
      </c>
      <c r="J43">
        <v>1.27677</v>
      </c>
      <c r="K43">
        <v>1.3776999999999999</v>
      </c>
      <c r="L43">
        <v>1.64453</v>
      </c>
      <c r="M43" s="8">
        <v>0.33</v>
      </c>
      <c r="N43">
        <v>1.8591599999999999</v>
      </c>
      <c r="O43">
        <v>1.40791</v>
      </c>
      <c r="P43">
        <v>1.5101199999999999</v>
      </c>
      <c r="Q43">
        <v>1.7535000000000001</v>
      </c>
    </row>
    <row r="44" spans="8:17" x14ac:dyDescent="0.3">
      <c r="H44" s="8">
        <v>0.34</v>
      </c>
      <c r="I44">
        <v>1.6439699999999999</v>
      </c>
      <c r="J44">
        <v>1.30267</v>
      </c>
      <c r="K44">
        <v>1.3885099999999999</v>
      </c>
      <c r="L44">
        <v>1.66709</v>
      </c>
      <c r="M44" s="8">
        <v>0.34</v>
      </c>
      <c r="N44">
        <v>1.84694</v>
      </c>
      <c r="O44">
        <v>1.4251499999999999</v>
      </c>
      <c r="P44">
        <v>1.50762</v>
      </c>
      <c r="Q44">
        <v>1.76576</v>
      </c>
    </row>
    <row r="45" spans="8:17" x14ac:dyDescent="0.3">
      <c r="H45" s="8">
        <v>0.35</v>
      </c>
      <c r="I45">
        <v>1.63287</v>
      </c>
      <c r="J45">
        <v>1.3284499999999999</v>
      </c>
      <c r="K45">
        <v>1.3979699999999999</v>
      </c>
      <c r="L45">
        <v>1.6885399999999999</v>
      </c>
      <c r="M45" s="8">
        <v>0.35</v>
      </c>
      <c r="N45">
        <v>1.8315900000000001</v>
      </c>
      <c r="O45">
        <v>1.4413800000000001</v>
      </c>
      <c r="P45">
        <v>1.50298</v>
      </c>
      <c r="Q45">
        <v>1.7760499999999999</v>
      </c>
    </row>
    <row r="46" spans="8:17" x14ac:dyDescent="0.3">
      <c r="H46" s="8">
        <v>0.36</v>
      </c>
      <c r="I46">
        <v>1.6191199999999999</v>
      </c>
      <c r="J46">
        <v>1.35399</v>
      </c>
      <c r="K46">
        <v>1.4059699999999999</v>
      </c>
      <c r="L46">
        <v>1.7086300000000001</v>
      </c>
      <c r="M46" s="8">
        <v>0.36</v>
      </c>
      <c r="N46">
        <v>1.81298</v>
      </c>
      <c r="O46">
        <v>1.45645</v>
      </c>
      <c r="P46">
        <v>1.4961100000000001</v>
      </c>
      <c r="Q46">
        <v>1.78413</v>
      </c>
    </row>
    <row r="47" spans="8:17" x14ac:dyDescent="0.3">
      <c r="H47" s="8">
        <v>0.37</v>
      </c>
      <c r="I47">
        <v>1.60267</v>
      </c>
      <c r="J47">
        <v>1.3791199999999999</v>
      </c>
      <c r="K47">
        <v>1.41239</v>
      </c>
      <c r="L47">
        <v>1.72715</v>
      </c>
      <c r="M47" s="8">
        <v>0.37</v>
      </c>
      <c r="N47">
        <v>1.7910200000000001</v>
      </c>
      <c r="O47">
        <v>1.47021</v>
      </c>
      <c r="P47">
        <v>1.4869699999999999</v>
      </c>
      <c r="Q47">
        <v>1.7898000000000001</v>
      </c>
    </row>
    <row r="48" spans="8:17" x14ac:dyDescent="0.3">
      <c r="H48" s="8">
        <v>0.38</v>
      </c>
      <c r="I48">
        <v>1.58351</v>
      </c>
      <c r="J48">
        <v>1.4037200000000001</v>
      </c>
      <c r="K48">
        <v>1.41713</v>
      </c>
      <c r="L48">
        <v>1.7438400000000001</v>
      </c>
      <c r="M48" s="8">
        <v>0.38</v>
      </c>
      <c r="N48">
        <v>1.7656499999999999</v>
      </c>
      <c r="O48">
        <v>1.4825299999999999</v>
      </c>
      <c r="P48">
        <v>1.4755100000000001</v>
      </c>
      <c r="Q48">
        <v>1.79281</v>
      </c>
    </row>
    <row r="49" spans="8:17" x14ac:dyDescent="0.3">
      <c r="H49" s="8">
        <v>0.39</v>
      </c>
      <c r="I49">
        <v>1.56168</v>
      </c>
      <c r="J49">
        <v>1.42761</v>
      </c>
      <c r="K49">
        <v>1.4200999999999999</v>
      </c>
      <c r="L49">
        <v>1.75844</v>
      </c>
      <c r="M49" s="8">
        <v>0.39</v>
      </c>
      <c r="N49">
        <v>1.7368300000000001</v>
      </c>
      <c r="O49">
        <v>1.49325</v>
      </c>
      <c r="P49">
        <v>1.4617500000000001</v>
      </c>
      <c r="Q49">
        <v>1.79297</v>
      </c>
    </row>
    <row r="50" spans="8:17" x14ac:dyDescent="0.3">
      <c r="H50" s="8">
        <v>0.4</v>
      </c>
      <c r="I50">
        <v>1.53725</v>
      </c>
      <c r="J50">
        <v>1.4506600000000001</v>
      </c>
      <c r="K50">
        <v>1.42127</v>
      </c>
      <c r="L50">
        <v>1.7706900000000001</v>
      </c>
      <c r="M50" s="8">
        <v>0.4</v>
      </c>
      <c r="N50">
        <v>1.70458</v>
      </c>
      <c r="O50">
        <v>1.50227</v>
      </c>
      <c r="P50">
        <v>1.4457500000000001</v>
      </c>
      <c r="Q50">
        <v>1.7900400000000001</v>
      </c>
    </row>
    <row r="51" spans="8:17" x14ac:dyDescent="0.3">
      <c r="H51" s="8">
        <v>0.41</v>
      </c>
      <c r="I51">
        <v>1.5103500000000001</v>
      </c>
      <c r="J51">
        <v>1.47268</v>
      </c>
      <c r="K51">
        <v>1.4206000000000001</v>
      </c>
      <c r="L51">
        <v>1.7803199999999999</v>
      </c>
      <c r="M51" s="8">
        <v>0.41</v>
      </c>
      <c r="N51">
        <v>1.66896</v>
      </c>
      <c r="O51">
        <v>1.5094700000000001</v>
      </c>
      <c r="P51">
        <v>1.4276199999999999</v>
      </c>
      <c r="Q51">
        <v>1.7838400000000001</v>
      </c>
    </row>
    <row r="52" spans="8:17" x14ac:dyDescent="0.3">
      <c r="H52" s="8">
        <v>0.42</v>
      </c>
      <c r="I52">
        <v>1.48119</v>
      </c>
      <c r="J52">
        <v>1.49353</v>
      </c>
      <c r="K52">
        <v>1.41814</v>
      </c>
      <c r="L52">
        <v>1.78704</v>
      </c>
      <c r="M52" s="8">
        <v>0.42</v>
      </c>
      <c r="N52">
        <v>1.63005</v>
      </c>
      <c r="O52">
        <v>1.5147999999999999</v>
      </c>
      <c r="P52">
        <v>1.4075299999999999</v>
      </c>
      <c r="Q52">
        <v>1.7741899999999999</v>
      </c>
    </row>
    <row r="53" spans="8:17" x14ac:dyDescent="0.3">
      <c r="H53" s="8">
        <v>0.43</v>
      </c>
      <c r="I53">
        <v>1.4500299999999999</v>
      </c>
      <c r="J53">
        <v>1.51305</v>
      </c>
      <c r="K53">
        <v>1.41395</v>
      </c>
      <c r="L53">
        <v>1.7905800000000001</v>
      </c>
      <c r="M53" s="8">
        <v>0.43</v>
      </c>
      <c r="N53">
        <v>1.5880300000000001</v>
      </c>
      <c r="O53">
        <v>1.5182100000000001</v>
      </c>
      <c r="P53">
        <v>1.38571</v>
      </c>
      <c r="Q53">
        <v>1.76092</v>
      </c>
    </row>
    <row r="54" spans="8:17" x14ac:dyDescent="0.3">
      <c r="H54" s="8">
        <v>0.44</v>
      </c>
      <c r="I54">
        <v>1.4171800000000001</v>
      </c>
      <c r="J54">
        <v>1.5310900000000001</v>
      </c>
      <c r="K54">
        <v>1.4081699999999999</v>
      </c>
      <c r="L54">
        <v>1.7906500000000001</v>
      </c>
      <c r="M54" s="8">
        <v>0.44</v>
      </c>
      <c r="N54">
        <v>1.5430999999999999</v>
      </c>
      <c r="O54">
        <v>1.51969</v>
      </c>
      <c r="P54">
        <v>1.36246</v>
      </c>
      <c r="Q54">
        <v>1.7439</v>
      </c>
    </row>
    <row r="55" spans="8:17" x14ac:dyDescent="0.3">
      <c r="H55" s="8">
        <v>0.45</v>
      </c>
      <c r="I55">
        <v>1.3830499999999999</v>
      </c>
      <c r="J55">
        <v>1.5475300000000001</v>
      </c>
      <c r="K55">
        <v>1.401</v>
      </c>
      <c r="L55">
        <v>1.7869900000000001</v>
      </c>
      <c r="M55" s="8">
        <v>0.45</v>
      </c>
      <c r="N55">
        <v>1.49553</v>
      </c>
      <c r="O55">
        <v>1.5193000000000001</v>
      </c>
      <c r="P55">
        <v>1.3381700000000001</v>
      </c>
      <c r="Q55">
        <v>1.7230300000000001</v>
      </c>
    </row>
    <row r="56" spans="8:17" x14ac:dyDescent="0.3">
      <c r="H56" s="8">
        <v>0.46</v>
      </c>
      <c r="I56">
        <v>1.3480700000000001</v>
      </c>
      <c r="J56">
        <v>1.56226</v>
      </c>
      <c r="K56">
        <v>1.3927</v>
      </c>
      <c r="L56">
        <v>1.77935</v>
      </c>
      <c r="M56" s="8">
        <v>0.46</v>
      </c>
      <c r="N56">
        <v>1.4456199999999999</v>
      </c>
      <c r="O56">
        <v>1.5171300000000001</v>
      </c>
      <c r="P56">
        <v>1.31328</v>
      </c>
      <c r="Q56">
        <v>1.6982600000000001</v>
      </c>
    </row>
    <row r="57" spans="8:17" x14ac:dyDescent="0.3">
      <c r="H57" s="8">
        <v>0.47</v>
      </c>
      <c r="I57">
        <v>1.31277</v>
      </c>
      <c r="J57">
        <v>1.5751999999999999</v>
      </c>
      <c r="K57">
        <v>1.38361</v>
      </c>
      <c r="L57">
        <v>1.7675000000000001</v>
      </c>
      <c r="M57" s="8">
        <v>0.47</v>
      </c>
      <c r="N57">
        <v>1.39374</v>
      </c>
      <c r="O57">
        <v>1.5133399999999999</v>
      </c>
      <c r="P57">
        <v>1.2883</v>
      </c>
      <c r="Q57">
        <v>1.6695599999999999</v>
      </c>
    </row>
    <row r="58" spans="8:17" x14ac:dyDescent="0.3">
      <c r="H58" s="8">
        <v>0.48</v>
      </c>
      <c r="I58">
        <v>1.27769</v>
      </c>
      <c r="J58">
        <v>1.58629</v>
      </c>
      <c r="K58">
        <v>1.3741399999999999</v>
      </c>
      <c r="L58">
        <v>1.7512399999999999</v>
      </c>
      <c r="M58" s="8">
        <v>0.48</v>
      </c>
      <c r="N58">
        <v>1.34029</v>
      </c>
      <c r="O58">
        <v>1.5081199999999999</v>
      </c>
      <c r="P58">
        <v>1.2638</v>
      </c>
      <c r="Q58">
        <v>1.63697</v>
      </c>
    </row>
    <row r="59" spans="8:17" x14ac:dyDescent="0.3">
      <c r="H59" s="8">
        <v>0.49</v>
      </c>
      <c r="I59">
        <v>1.24339</v>
      </c>
      <c r="J59">
        <v>1.5954999999999999</v>
      </c>
      <c r="K59">
        <v>1.36473</v>
      </c>
      <c r="L59">
        <v>1.73041</v>
      </c>
      <c r="M59" s="8">
        <v>0.49</v>
      </c>
      <c r="N59">
        <v>1.2856799999999999</v>
      </c>
      <c r="O59">
        <v>1.5017400000000001</v>
      </c>
      <c r="P59">
        <v>1.2403999999999999</v>
      </c>
      <c r="Q59">
        <v>1.60057</v>
      </c>
    </row>
    <row r="60" spans="8:17" x14ac:dyDescent="0.3">
      <c r="H60" s="8">
        <v>0.5</v>
      </c>
      <c r="I60">
        <v>1.21045</v>
      </c>
      <c r="J60">
        <v>1.6028500000000001</v>
      </c>
      <c r="K60">
        <v>1.35589</v>
      </c>
      <c r="L60">
        <v>1.7049099999999999</v>
      </c>
      <c r="M60" s="8">
        <v>0.5</v>
      </c>
      <c r="N60">
        <v>1.2303299999999999</v>
      </c>
      <c r="O60">
        <v>1.4944900000000001</v>
      </c>
      <c r="P60">
        <v>1.21871</v>
      </c>
      <c r="Q60">
        <v>1.5605100000000001</v>
      </c>
    </row>
    <row r="61" spans="8:17" x14ac:dyDescent="0.3">
      <c r="H61" s="8">
        <v>0.51</v>
      </c>
      <c r="I61">
        <v>1.1794</v>
      </c>
      <c r="J61">
        <v>1.6083700000000001</v>
      </c>
      <c r="K61">
        <v>1.34812</v>
      </c>
      <c r="L61">
        <v>1.6747099999999999</v>
      </c>
      <c r="M61" s="8">
        <v>0.51</v>
      </c>
      <c r="N61">
        <v>1.17466</v>
      </c>
      <c r="O61">
        <v>1.48668</v>
      </c>
      <c r="P61">
        <v>1.1993400000000001</v>
      </c>
      <c r="Q61">
        <v>1.5169600000000001</v>
      </c>
    </row>
    <row r="62" spans="8:17" x14ac:dyDescent="0.3">
      <c r="H62" s="8">
        <v>0.52</v>
      </c>
      <c r="I62">
        <v>1.1506700000000001</v>
      </c>
      <c r="J62">
        <v>1.61209</v>
      </c>
      <c r="K62">
        <v>1.3419000000000001</v>
      </c>
      <c r="L62">
        <v>1.63985</v>
      </c>
      <c r="M62" s="8">
        <v>0.52</v>
      </c>
      <c r="N62">
        <v>1.1190500000000001</v>
      </c>
      <c r="O62">
        <v>1.4785999999999999</v>
      </c>
      <c r="P62">
        <v>1.18285</v>
      </c>
      <c r="Q62">
        <v>1.47017</v>
      </c>
    </row>
    <row r="63" spans="8:17" x14ac:dyDescent="0.3">
      <c r="H63" s="8">
        <v>0.53</v>
      </c>
      <c r="I63">
        <v>1.1246100000000001</v>
      </c>
      <c r="J63">
        <v>1.6140699999999999</v>
      </c>
      <c r="K63">
        <v>1.33765</v>
      </c>
      <c r="L63">
        <v>1.6004499999999999</v>
      </c>
      <c r="M63" s="8">
        <v>0.53</v>
      </c>
      <c r="N63">
        <v>1.06382</v>
      </c>
      <c r="O63">
        <v>1.4705299999999999</v>
      </c>
      <c r="P63">
        <v>1.1696800000000001</v>
      </c>
      <c r="Q63">
        <v>1.4204300000000001</v>
      </c>
    </row>
    <row r="64" spans="8:17" x14ac:dyDescent="0.3">
      <c r="H64" s="8">
        <v>0.54</v>
      </c>
      <c r="I64">
        <v>1.10138</v>
      </c>
      <c r="J64">
        <v>1.6143400000000001</v>
      </c>
      <c r="K64">
        <v>1.3356600000000001</v>
      </c>
      <c r="L64">
        <v>1.5567200000000001</v>
      </c>
      <c r="M64" s="8">
        <v>0.54</v>
      </c>
      <c r="N64">
        <v>1.0092099999999999</v>
      </c>
      <c r="O64">
        <v>1.4626300000000001</v>
      </c>
      <c r="P64">
        <v>1.16012</v>
      </c>
      <c r="Q64">
        <v>1.3680300000000001</v>
      </c>
    </row>
    <row r="65" spans="8:17" x14ac:dyDescent="0.3">
      <c r="H65" s="8">
        <v>0.55000000000000004</v>
      </c>
      <c r="I65">
        <v>1.0809599999999999</v>
      </c>
      <c r="J65">
        <v>1.6128800000000001</v>
      </c>
      <c r="K65">
        <v>1.33606</v>
      </c>
      <c r="L65">
        <v>1.50895</v>
      </c>
      <c r="M65" s="8">
        <v>0.55000000000000004</v>
      </c>
      <c r="N65">
        <v>0.95538999999999996</v>
      </c>
      <c r="O65">
        <v>1.4549700000000001</v>
      </c>
      <c r="P65">
        <v>1.1542399999999999</v>
      </c>
      <c r="Q65">
        <v>1.3133300000000001</v>
      </c>
    </row>
    <row r="66" spans="8:17" x14ac:dyDescent="0.3">
      <c r="H66" s="8">
        <v>0.56000000000000005</v>
      </c>
      <c r="I66">
        <v>1.06308</v>
      </c>
      <c r="J66">
        <v>1.6096299999999999</v>
      </c>
      <c r="K66">
        <v>1.3387500000000001</v>
      </c>
      <c r="L66">
        <v>1.4575</v>
      </c>
      <c r="M66" s="8">
        <v>0.56000000000000005</v>
      </c>
      <c r="N66">
        <v>0.90242699999999998</v>
      </c>
      <c r="O66">
        <v>1.4474499999999999</v>
      </c>
      <c r="P66">
        <v>1.1518999999999999</v>
      </c>
      <c r="Q66">
        <v>1.25665</v>
      </c>
    </row>
    <row r="67" spans="8:17" x14ac:dyDescent="0.3">
      <c r="H67" s="8">
        <v>0.56999999999999995</v>
      </c>
      <c r="I67">
        <v>1.0472399999999999</v>
      </c>
      <c r="J67">
        <v>1.6044400000000001</v>
      </c>
      <c r="K67">
        <v>1.34338</v>
      </c>
      <c r="L67">
        <v>1.40279</v>
      </c>
      <c r="M67" s="8">
        <v>0.56999999999999995</v>
      </c>
      <c r="N67">
        <v>0.85031800000000002</v>
      </c>
      <c r="O67">
        <v>1.4398</v>
      </c>
      <c r="P67">
        <v>1.1526099999999999</v>
      </c>
      <c r="Q67">
        <v>1.1983600000000001</v>
      </c>
    </row>
    <row r="68" spans="8:17" x14ac:dyDescent="0.3">
      <c r="H68" s="8">
        <v>0.57999999999999996</v>
      </c>
      <c r="I68">
        <v>1.0327299999999999</v>
      </c>
      <c r="J68">
        <v>1.5970899999999999</v>
      </c>
      <c r="K68">
        <v>1.34935</v>
      </c>
      <c r="L68">
        <v>1.3452900000000001</v>
      </c>
      <c r="M68" s="8">
        <v>0.57999999999999996</v>
      </c>
      <c r="N68">
        <v>0.79900199999999999</v>
      </c>
      <c r="O68">
        <v>1.4316</v>
      </c>
      <c r="P68">
        <v>1.15564</v>
      </c>
      <c r="Q68">
        <v>1.1387700000000001</v>
      </c>
    </row>
    <row r="69" spans="8:17" x14ac:dyDescent="0.3">
      <c r="H69" s="8">
        <v>0.59</v>
      </c>
      <c r="I69">
        <v>1.01864</v>
      </c>
      <c r="J69">
        <v>1.5872999999999999</v>
      </c>
      <c r="K69">
        <v>1.3557999999999999</v>
      </c>
      <c r="L69">
        <v>1.2854699999999999</v>
      </c>
      <c r="M69" s="8">
        <v>0.59</v>
      </c>
      <c r="N69">
        <v>0.74838800000000005</v>
      </c>
      <c r="O69">
        <v>1.42225</v>
      </c>
      <c r="P69">
        <v>1.1599600000000001</v>
      </c>
      <c r="Q69">
        <v>1.0782099999999999</v>
      </c>
    </row>
    <row r="70" spans="8:17" x14ac:dyDescent="0.3">
      <c r="H70" s="8">
        <v>0.6</v>
      </c>
      <c r="I70">
        <v>1.00393</v>
      </c>
      <c r="J70">
        <v>1.5747100000000001</v>
      </c>
      <c r="K70">
        <v>1.3616699999999999</v>
      </c>
      <c r="L70">
        <v>1.2238</v>
      </c>
      <c r="M70" s="8">
        <v>0.6</v>
      </c>
      <c r="N70">
        <v>0.69839499999999999</v>
      </c>
      <c r="O70">
        <v>1.41106</v>
      </c>
      <c r="P70">
        <v>1.1642999999999999</v>
      </c>
      <c r="Q70">
        <v>1.0169900000000001</v>
      </c>
    </row>
    <row r="71" spans="8:17" x14ac:dyDescent="0.3">
      <c r="H71" s="8">
        <v>0.61</v>
      </c>
      <c r="I71">
        <v>0.98753800000000003</v>
      </c>
      <c r="J71">
        <v>1.55894</v>
      </c>
      <c r="K71">
        <v>1.3657699999999999</v>
      </c>
      <c r="L71">
        <v>1.1607499999999999</v>
      </c>
      <c r="M71" s="8">
        <v>0.61</v>
      </c>
      <c r="N71">
        <v>0.64897700000000003</v>
      </c>
      <c r="O71">
        <v>1.3972599999999999</v>
      </c>
      <c r="P71">
        <v>1.1673</v>
      </c>
      <c r="Q71">
        <v>0.95542300000000002</v>
      </c>
    </row>
    <row r="72" spans="8:17" x14ac:dyDescent="0.3">
      <c r="H72" s="8">
        <v>0.62</v>
      </c>
      <c r="I72">
        <v>0.96846399999999999</v>
      </c>
      <c r="J72">
        <v>1.53962</v>
      </c>
      <c r="K72">
        <v>1.3669</v>
      </c>
      <c r="L72">
        <v>1.09676</v>
      </c>
      <c r="M72" s="8">
        <v>0.62</v>
      </c>
      <c r="N72">
        <v>0.60015300000000005</v>
      </c>
      <c r="O72">
        <v>1.3801300000000001</v>
      </c>
      <c r="P72">
        <v>1.1675199999999999</v>
      </c>
      <c r="Q72">
        <v>0.89380499999999996</v>
      </c>
    </row>
    <row r="73" spans="8:17" x14ac:dyDescent="0.3">
      <c r="H73" s="8">
        <v>0.63</v>
      </c>
      <c r="I73">
        <v>0.94586099999999995</v>
      </c>
      <c r="J73">
        <v>1.51641</v>
      </c>
      <c r="K73">
        <v>1.3638999999999999</v>
      </c>
      <c r="L73">
        <v>1.03224</v>
      </c>
      <c r="M73" s="8">
        <v>0.63</v>
      </c>
      <c r="N73">
        <v>0.55201800000000001</v>
      </c>
      <c r="O73">
        <v>1.359</v>
      </c>
      <c r="P73">
        <v>1.16364</v>
      </c>
      <c r="Q73">
        <v>0.83244799999999997</v>
      </c>
    </row>
    <row r="74" spans="8:17" x14ac:dyDescent="0.3">
      <c r="H74" s="8">
        <v>0.64</v>
      </c>
      <c r="I74">
        <v>0.91910800000000004</v>
      </c>
      <c r="J74">
        <v>1.4890399999999999</v>
      </c>
      <c r="K74">
        <v>1.35575</v>
      </c>
      <c r="L74">
        <v>0.96756799999999998</v>
      </c>
      <c r="M74" s="8">
        <v>0.64</v>
      </c>
      <c r="N74">
        <v>0.504745</v>
      </c>
      <c r="O74">
        <v>1.3333699999999999</v>
      </c>
      <c r="P74">
        <v>1.1545099999999999</v>
      </c>
      <c r="Q74">
        <v>0.77166900000000005</v>
      </c>
    </row>
    <row r="75" spans="8:17" x14ac:dyDescent="0.3">
      <c r="H75" s="8">
        <v>0.65</v>
      </c>
      <c r="I75">
        <v>0.88786399999999999</v>
      </c>
      <c r="J75">
        <v>1.4573199999999999</v>
      </c>
      <c r="K75">
        <v>1.34168</v>
      </c>
      <c r="L75">
        <v>0.90312700000000001</v>
      </c>
      <c r="M75" s="8">
        <v>0.65</v>
      </c>
      <c r="N75">
        <v>0.45857100000000001</v>
      </c>
      <c r="O75">
        <v>1.30288</v>
      </c>
      <c r="P75">
        <v>1.13927</v>
      </c>
      <c r="Q75">
        <v>0.71179400000000004</v>
      </c>
    </row>
    <row r="76" spans="8:17" x14ac:dyDescent="0.3">
      <c r="H76" s="8">
        <v>0.66</v>
      </c>
      <c r="I76">
        <v>0.85208099999999998</v>
      </c>
      <c r="J76">
        <v>1.42119</v>
      </c>
      <c r="K76">
        <v>1.3211599999999999</v>
      </c>
      <c r="L76">
        <v>0.83926800000000001</v>
      </c>
      <c r="M76" s="8">
        <v>0.66</v>
      </c>
      <c r="N76">
        <v>0.41378300000000001</v>
      </c>
      <c r="O76">
        <v>1.26738</v>
      </c>
      <c r="P76">
        <v>1.11741</v>
      </c>
      <c r="Q76">
        <v>0.65315599999999996</v>
      </c>
    </row>
    <row r="77" spans="8:17" x14ac:dyDescent="0.3">
      <c r="H77" s="8">
        <v>0.67</v>
      </c>
      <c r="I77">
        <v>0.81198499999999996</v>
      </c>
      <c r="J77">
        <v>1.3806799999999999</v>
      </c>
      <c r="K77">
        <v>1.29396</v>
      </c>
      <c r="L77">
        <v>0.77633700000000005</v>
      </c>
      <c r="M77" s="8">
        <v>0.67</v>
      </c>
      <c r="N77">
        <v>0.37068600000000002</v>
      </c>
      <c r="O77">
        <v>1.2269099999999999</v>
      </c>
      <c r="P77">
        <v>1.08874</v>
      </c>
      <c r="Q77">
        <v>0.596086</v>
      </c>
    </row>
    <row r="78" spans="8:17" x14ac:dyDescent="0.3">
      <c r="H78" s="8">
        <v>0.68</v>
      </c>
      <c r="I78">
        <v>0.76804700000000004</v>
      </c>
      <c r="J78">
        <v>1.3359300000000001</v>
      </c>
      <c r="K78">
        <v>1.2601199999999999</v>
      </c>
      <c r="L78">
        <v>0.714669</v>
      </c>
      <c r="M78" s="8">
        <v>0.68</v>
      </c>
      <c r="N78">
        <v>0.32958700000000002</v>
      </c>
      <c r="O78">
        <v>1.1817</v>
      </c>
      <c r="P78">
        <v>1.05342</v>
      </c>
      <c r="Q78">
        <v>0.54090700000000003</v>
      </c>
    </row>
    <row r="79" spans="8:17" x14ac:dyDescent="0.3">
      <c r="H79" s="8">
        <v>0.69</v>
      </c>
      <c r="I79">
        <v>0.72092000000000001</v>
      </c>
      <c r="J79">
        <v>1.2871900000000001</v>
      </c>
      <c r="K79">
        <v>1.21991</v>
      </c>
      <c r="L79">
        <v>0.65458799999999995</v>
      </c>
      <c r="M79" s="8">
        <v>0.69</v>
      </c>
      <c r="N79">
        <v>0.290767</v>
      </c>
      <c r="O79">
        <v>1.1321300000000001</v>
      </c>
      <c r="P79">
        <v>1.0119100000000001</v>
      </c>
      <c r="Q79">
        <v>0.48792600000000003</v>
      </c>
    </row>
    <row r="80" spans="8:17" x14ac:dyDescent="0.3">
      <c r="H80" s="8">
        <v>0.7</v>
      </c>
      <c r="I80">
        <v>0.67138699999999996</v>
      </c>
      <c r="J80">
        <v>1.2347900000000001</v>
      </c>
      <c r="K80">
        <v>1.1738299999999999</v>
      </c>
      <c r="L80">
        <v>0.59640599999999999</v>
      </c>
      <c r="M80" s="8">
        <v>0.7</v>
      </c>
      <c r="N80">
        <v>0.25446200000000002</v>
      </c>
      <c r="O80">
        <v>1.0787199999999999</v>
      </c>
      <c r="P80">
        <v>0.96487900000000004</v>
      </c>
      <c r="Q80">
        <v>0.437421</v>
      </c>
    </row>
    <row r="81" spans="8:17" x14ac:dyDescent="0.3">
      <c r="H81" s="8">
        <v>0.71</v>
      </c>
      <c r="I81">
        <v>0.62029500000000004</v>
      </c>
      <c r="J81">
        <v>1.17913</v>
      </c>
      <c r="K81">
        <v>1.12253</v>
      </c>
      <c r="L81">
        <v>0.54041399999999995</v>
      </c>
      <c r="M81" s="8">
        <v>0.71</v>
      </c>
      <c r="N81">
        <v>0.220859</v>
      </c>
      <c r="O81">
        <v>1.02206</v>
      </c>
      <c r="P81">
        <v>0.91320100000000004</v>
      </c>
      <c r="Q81">
        <v>0.38963700000000001</v>
      </c>
    </row>
    <row r="82" spans="8:17" x14ac:dyDescent="0.3">
      <c r="H82" s="8">
        <v>0.72</v>
      </c>
      <c r="I82">
        <v>0.56850599999999996</v>
      </c>
      <c r="J82">
        <v>1.1207</v>
      </c>
      <c r="K82">
        <v>1.06677</v>
      </c>
      <c r="L82">
        <v>0.48688100000000001</v>
      </c>
      <c r="M82" s="8">
        <v>0.72</v>
      </c>
      <c r="N82">
        <v>0.190078</v>
      </c>
      <c r="O82">
        <v>0.96284099999999995</v>
      </c>
      <c r="P82">
        <v>0.85784000000000005</v>
      </c>
      <c r="Q82">
        <v>0.344775</v>
      </c>
    </row>
    <row r="83" spans="8:17" x14ac:dyDescent="0.3">
      <c r="H83" s="8">
        <v>0.73</v>
      </c>
      <c r="I83">
        <v>0.51685199999999998</v>
      </c>
      <c r="J83">
        <v>1.06002</v>
      </c>
      <c r="K83">
        <v>1.00742</v>
      </c>
      <c r="L83">
        <v>0.43604500000000002</v>
      </c>
      <c r="M83" s="8">
        <v>0.73</v>
      </c>
      <c r="N83">
        <v>0.16217799999999999</v>
      </c>
      <c r="O83">
        <v>0.90176999999999996</v>
      </c>
      <c r="P83">
        <v>0.799817</v>
      </c>
      <c r="Q83">
        <v>0.30299199999999998</v>
      </c>
    </row>
    <row r="84" spans="8:17" x14ac:dyDescent="0.3">
      <c r="H84" s="8">
        <v>0.74</v>
      </c>
      <c r="I84">
        <v>0.46610000000000001</v>
      </c>
      <c r="J84">
        <v>0.99763100000000005</v>
      </c>
      <c r="K84">
        <v>0.94536200000000004</v>
      </c>
      <c r="L84">
        <v>0.38810800000000001</v>
      </c>
      <c r="M84" s="8">
        <v>0.74</v>
      </c>
      <c r="N84">
        <v>0.137157</v>
      </c>
      <c r="O84">
        <v>0.83956900000000001</v>
      </c>
      <c r="P84">
        <v>0.74015500000000001</v>
      </c>
      <c r="Q84">
        <v>0.26439299999999999</v>
      </c>
    </row>
    <row r="85" spans="8:17" x14ac:dyDescent="0.3">
      <c r="H85" s="8">
        <v>0.75</v>
      </c>
      <c r="I85">
        <v>0.41692899999999999</v>
      </c>
      <c r="J85">
        <v>0.93411900000000003</v>
      </c>
      <c r="K85">
        <v>0.88148099999999996</v>
      </c>
      <c r="L85">
        <v>0.34323300000000001</v>
      </c>
      <c r="M85" s="8">
        <v>0.75</v>
      </c>
      <c r="N85">
        <v>0.114955</v>
      </c>
      <c r="O85">
        <v>0.776953</v>
      </c>
      <c r="P85">
        <v>0.67983800000000005</v>
      </c>
      <c r="Q85">
        <v>0.22903100000000001</v>
      </c>
    </row>
    <row r="86" spans="8:17" x14ac:dyDescent="0.3">
      <c r="H86" s="8">
        <v>0.76</v>
      </c>
      <c r="I86">
        <v>0.36991299999999999</v>
      </c>
      <c r="J86">
        <v>0.87006099999999997</v>
      </c>
      <c r="K86">
        <v>0.81665600000000005</v>
      </c>
      <c r="L86">
        <v>0.301537</v>
      </c>
      <c r="M86" s="8">
        <v>0.76</v>
      </c>
      <c r="N86">
        <v>9.5464400000000005E-2</v>
      </c>
      <c r="O86">
        <v>0.71460800000000002</v>
      </c>
      <c r="P86">
        <v>0.619784</v>
      </c>
      <c r="Q86">
        <v>0.196911</v>
      </c>
    </row>
    <row r="87" spans="8:17" x14ac:dyDescent="0.3">
      <c r="H87" s="8">
        <v>0.77</v>
      </c>
      <c r="I87">
        <v>0.32551600000000003</v>
      </c>
      <c r="J87">
        <v>0.80603000000000002</v>
      </c>
      <c r="K87">
        <v>0.75171600000000005</v>
      </c>
      <c r="L87">
        <v>0.26309399999999999</v>
      </c>
      <c r="M87" s="8">
        <v>0.77</v>
      </c>
      <c r="N87">
        <v>7.8537599999999999E-2</v>
      </c>
      <c r="O87">
        <v>0.65317700000000001</v>
      </c>
      <c r="P87">
        <v>0.56081800000000004</v>
      </c>
      <c r="Q87">
        <v>0.167989</v>
      </c>
    </row>
    <row r="88" spans="8:17" x14ac:dyDescent="0.3">
      <c r="H88" s="8">
        <v>0.78</v>
      </c>
      <c r="I88">
        <v>0.28408800000000001</v>
      </c>
      <c r="J88">
        <v>0.74258299999999999</v>
      </c>
      <c r="K88">
        <v>0.68743299999999996</v>
      </c>
      <c r="L88">
        <v>0.22793099999999999</v>
      </c>
      <c r="M88" s="8">
        <v>0.78</v>
      </c>
      <c r="N88">
        <v>6.3995399999999994E-2</v>
      </c>
      <c r="O88">
        <v>0.59324600000000005</v>
      </c>
      <c r="P88">
        <v>0.50366299999999997</v>
      </c>
      <c r="Q88">
        <v>0.142177</v>
      </c>
    </row>
    <row r="89" spans="8:17" x14ac:dyDescent="0.3">
      <c r="H89" s="8">
        <v>0.79</v>
      </c>
      <c r="I89">
        <v>0.24587300000000001</v>
      </c>
      <c r="J89">
        <v>0.68024899999999999</v>
      </c>
      <c r="K89">
        <v>0.62450799999999995</v>
      </c>
      <c r="L89">
        <v>0.19602800000000001</v>
      </c>
      <c r="M89" s="8">
        <v>0.79</v>
      </c>
      <c r="N89">
        <v>5.1637799999999998E-2</v>
      </c>
      <c r="O89">
        <v>0.53534000000000004</v>
      </c>
      <c r="P89">
        <v>0.44892700000000002</v>
      </c>
      <c r="Q89">
        <v>0.119349</v>
      </c>
    </row>
    <row r="90" spans="8:17" x14ac:dyDescent="0.3">
      <c r="H90" s="8">
        <v>0.8</v>
      </c>
      <c r="I90">
        <v>0.211011</v>
      </c>
      <c r="J90">
        <v>0.61951999999999996</v>
      </c>
      <c r="K90">
        <v>0.56355900000000003</v>
      </c>
      <c r="L90">
        <v>0.167324</v>
      </c>
      <c r="M90" s="8">
        <v>0.8</v>
      </c>
      <c r="N90">
        <v>4.1251500000000003E-2</v>
      </c>
      <c r="O90">
        <v>0.47991</v>
      </c>
      <c r="P90">
        <v>0.39710499999999999</v>
      </c>
      <c r="Q90">
        <v>9.9346400000000001E-2</v>
      </c>
    </row>
    <row r="91" spans="8:17" x14ac:dyDescent="0.3">
      <c r="H91" s="8">
        <v>0.81</v>
      </c>
      <c r="I91">
        <v>0.17955299999999999</v>
      </c>
      <c r="J91">
        <v>0.56084199999999995</v>
      </c>
      <c r="K91">
        <v>0.50511700000000004</v>
      </c>
      <c r="L91">
        <v>0.14171800000000001</v>
      </c>
      <c r="M91" s="8">
        <v>0.81</v>
      </c>
      <c r="N91">
        <v>3.2619099999999998E-2</v>
      </c>
      <c r="O91">
        <v>0.42733399999999999</v>
      </c>
      <c r="P91">
        <v>0.34857300000000002</v>
      </c>
      <c r="Q91">
        <v>8.1983399999999998E-2</v>
      </c>
    </row>
    <row r="92" spans="8:17" x14ac:dyDescent="0.3">
      <c r="H92" s="8">
        <v>0.82</v>
      </c>
      <c r="I92">
        <v>0.15146599999999999</v>
      </c>
      <c r="J92">
        <v>0.50460899999999997</v>
      </c>
      <c r="K92">
        <v>0.449625</v>
      </c>
      <c r="L92">
        <v>0.119075</v>
      </c>
      <c r="M92" s="8">
        <v>0.82</v>
      </c>
      <c r="N92">
        <v>2.55248E-2</v>
      </c>
      <c r="O92">
        <v>0.37791200000000003</v>
      </c>
      <c r="P92">
        <v>0.30360100000000001</v>
      </c>
      <c r="Q92">
        <v>6.7056599999999994E-2</v>
      </c>
    </row>
    <row r="93" spans="8:17" x14ac:dyDescent="0.3">
      <c r="H93" s="8">
        <v>0.83</v>
      </c>
      <c r="I93">
        <v>0.12665399999999999</v>
      </c>
      <c r="J93">
        <v>0.45115899999999998</v>
      </c>
      <c r="K93">
        <v>0.39743099999999998</v>
      </c>
      <c r="L93">
        <v>9.9230399999999996E-2</v>
      </c>
      <c r="M93" s="8">
        <v>0.83</v>
      </c>
      <c r="N93">
        <v>1.97611E-2</v>
      </c>
      <c r="O93">
        <v>0.33186900000000003</v>
      </c>
      <c r="P93">
        <v>0.26235399999999998</v>
      </c>
      <c r="Q93">
        <v>5.4349500000000002E-2</v>
      </c>
    </row>
    <row r="94" spans="8:17" x14ac:dyDescent="0.3">
      <c r="H94" s="8">
        <v>0.84</v>
      </c>
      <c r="I94">
        <v>0.104964</v>
      </c>
      <c r="J94">
        <v>0.40076699999999998</v>
      </c>
      <c r="K94">
        <v>0.34879399999999999</v>
      </c>
      <c r="L94">
        <v>8.1997299999999995E-2</v>
      </c>
      <c r="M94" s="8">
        <v>0.84</v>
      </c>
      <c r="N94">
        <v>1.51326E-2</v>
      </c>
      <c r="O94">
        <v>0.289352</v>
      </c>
      <c r="P94">
        <v>0.22490199999999999</v>
      </c>
      <c r="Q94">
        <v>4.3640100000000001E-2</v>
      </c>
    </row>
    <row r="95" spans="8:17" x14ac:dyDescent="0.3">
      <c r="H95" s="8">
        <v>0.85</v>
      </c>
      <c r="I95">
        <v>8.6198899999999995E-2</v>
      </c>
      <c r="J95">
        <v>0.35364600000000002</v>
      </c>
      <c r="K95">
        <v>0.30388799999999999</v>
      </c>
      <c r="L95">
        <v>6.7171400000000006E-2</v>
      </c>
      <c r="M95" s="8">
        <v>0.85</v>
      </c>
      <c r="N95">
        <v>1.14593E-2</v>
      </c>
      <c r="O95">
        <v>0.25043799999999999</v>
      </c>
      <c r="P95">
        <v>0.19123299999999999</v>
      </c>
      <c r="Q95">
        <v>3.47062E-2</v>
      </c>
    </row>
    <row r="96" spans="8:17" x14ac:dyDescent="0.3">
      <c r="H96" s="8">
        <v>0.86</v>
      </c>
      <c r="I96">
        <v>7.0135000000000003E-2</v>
      </c>
      <c r="J96">
        <v>0.309946</v>
      </c>
      <c r="K96">
        <v>0.26280300000000001</v>
      </c>
      <c r="L96">
        <v>5.4537799999999997E-2</v>
      </c>
      <c r="M96" s="8">
        <v>0.86</v>
      </c>
      <c r="N96">
        <v>8.5789200000000003E-3</v>
      </c>
      <c r="O96">
        <v>0.21513599999999999</v>
      </c>
      <c r="P96">
        <v>0.16126199999999999</v>
      </c>
      <c r="Q96">
        <v>2.7330799999999999E-2</v>
      </c>
    </row>
    <row r="97" spans="8:17" x14ac:dyDescent="0.3">
      <c r="H97" s="8">
        <v>0.87</v>
      </c>
      <c r="I97">
        <v>5.6527300000000003E-2</v>
      </c>
      <c r="J97">
        <v>0.26975300000000002</v>
      </c>
      <c r="K97">
        <v>0.225554</v>
      </c>
      <c r="L97">
        <v>4.3876999999999999E-2</v>
      </c>
      <c r="M97" s="8">
        <v>0.87</v>
      </c>
      <c r="N97">
        <v>6.3478600000000003E-3</v>
      </c>
      <c r="O97">
        <v>0.183396</v>
      </c>
      <c r="P97">
        <v>0.13484499999999999</v>
      </c>
      <c r="Q97">
        <v>2.1306599999999998E-2</v>
      </c>
    </row>
    <row r="98" spans="8:17" x14ac:dyDescent="0.3">
      <c r="H98" s="8">
        <v>0.88</v>
      </c>
      <c r="I98">
        <v>4.5122099999999998E-2</v>
      </c>
      <c r="J98">
        <v>0.233095</v>
      </c>
      <c r="K98">
        <v>0.19208900000000001</v>
      </c>
      <c r="L98">
        <v>3.4970300000000003E-2</v>
      </c>
      <c r="M98" s="8">
        <v>0.88</v>
      </c>
      <c r="N98">
        <v>4.6411300000000003E-3</v>
      </c>
      <c r="O98">
        <v>0.155115</v>
      </c>
      <c r="P98">
        <v>0.111789</v>
      </c>
      <c r="Q98">
        <v>1.64393E-2</v>
      </c>
    </row>
    <row r="99" spans="8:17" x14ac:dyDescent="0.3">
      <c r="H99" s="8">
        <v>0.89</v>
      </c>
      <c r="I99">
        <v>3.5664800000000003E-2</v>
      </c>
      <c r="J99">
        <v>0.19994300000000001</v>
      </c>
      <c r="K99">
        <v>0.162299</v>
      </c>
      <c r="L99">
        <v>2.76046E-2</v>
      </c>
      <c r="M99" s="8">
        <v>0.89</v>
      </c>
      <c r="N99">
        <v>3.35199E-3</v>
      </c>
      <c r="O99">
        <v>0.13014400000000001</v>
      </c>
      <c r="P99">
        <v>9.1864500000000002E-2</v>
      </c>
      <c r="Q99">
        <v>1.2550199999999999E-2</v>
      </c>
    </row>
    <row r="100" spans="8:17" x14ac:dyDescent="0.3">
      <c r="H100" s="8">
        <v>0.9</v>
      </c>
      <c r="I100">
        <v>2.7907399999999999E-2</v>
      </c>
      <c r="J100">
        <v>0.17021800000000001</v>
      </c>
      <c r="K100">
        <v>0.136022</v>
      </c>
      <c r="L100">
        <v>2.15763E-2</v>
      </c>
      <c r="M100" s="8">
        <v>0.9</v>
      </c>
      <c r="N100">
        <v>2.3908000000000002E-3</v>
      </c>
      <c r="O100">
        <v>0.108297</v>
      </c>
      <c r="P100">
        <v>7.4817300000000003E-2</v>
      </c>
      <c r="Q100">
        <v>9.4777400000000001E-3</v>
      </c>
    </row>
    <row r="101" spans="8:17" x14ac:dyDescent="0.3">
      <c r="H101" s="8">
        <v>0.91</v>
      </c>
      <c r="I101">
        <v>2.1614000000000001E-2</v>
      </c>
      <c r="J101">
        <v>0.14379700000000001</v>
      </c>
      <c r="K101">
        <v>0.11305999999999999</v>
      </c>
      <c r="L101">
        <v>1.6694799999999999E-2</v>
      </c>
      <c r="M101" s="8">
        <v>0.91</v>
      </c>
      <c r="N101">
        <v>1.6835400000000001E-3</v>
      </c>
      <c r="O101">
        <v>8.9361200000000002E-2</v>
      </c>
      <c r="P101">
        <v>6.0378099999999997E-2</v>
      </c>
      <c r="Q101">
        <v>7.0783199999999999E-3</v>
      </c>
    </row>
    <row r="102" spans="8:17" x14ac:dyDescent="0.3">
      <c r="H102" s="8">
        <v>0.92</v>
      </c>
      <c r="I102">
        <v>1.6565E-2</v>
      </c>
      <c r="J102">
        <v>0.120518</v>
      </c>
      <c r="K102">
        <v>9.3181200000000006E-2</v>
      </c>
      <c r="L102">
        <v>1.27846E-2</v>
      </c>
      <c r="M102" s="8">
        <v>0.92</v>
      </c>
      <c r="N102">
        <v>1.17008E-3</v>
      </c>
      <c r="O102">
        <v>7.3102799999999996E-2</v>
      </c>
      <c r="P102">
        <v>4.8271799999999997E-2</v>
      </c>
      <c r="Q102">
        <v>5.2265300000000001E-3</v>
      </c>
    </row>
    <row r="103" spans="8:17" x14ac:dyDescent="0.3">
      <c r="H103" s="8">
        <v>0.93</v>
      </c>
      <c r="I103">
        <v>1.2559900000000001E-2</v>
      </c>
      <c r="J103">
        <v>0.100192</v>
      </c>
      <c r="K103">
        <v>7.6135400000000006E-2</v>
      </c>
      <c r="L103">
        <v>9.6868800000000001E-3</v>
      </c>
      <c r="M103" s="8">
        <v>0.93</v>
      </c>
      <c r="N103">
        <v>8.0239999999999999E-4</v>
      </c>
      <c r="O103">
        <v>5.9276700000000002E-2</v>
      </c>
      <c r="P103">
        <v>3.82259E-2</v>
      </c>
      <c r="Q103">
        <v>3.8145100000000001E-3</v>
      </c>
    </row>
    <row r="104" spans="8:17" x14ac:dyDescent="0.3">
      <c r="H104" s="8">
        <v>0.94</v>
      </c>
      <c r="I104">
        <v>9.4193599999999999E-3</v>
      </c>
      <c r="J104">
        <v>8.2604999999999998E-2</v>
      </c>
      <c r="K104">
        <v>6.1659100000000001E-2</v>
      </c>
      <c r="L104">
        <v>7.2604799999999997E-3</v>
      </c>
      <c r="M104" s="8">
        <v>0.94</v>
      </c>
      <c r="N104">
        <v>5.4277800000000005E-4</v>
      </c>
      <c r="O104">
        <v>4.7633200000000001E-2</v>
      </c>
      <c r="P104">
        <v>2.99764E-2</v>
      </c>
      <c r="Q104">
        <v>2.7509800000000001E-3</v>
      </c>
    </row>
    <row r="105" spans="8:17" x14ac:dyDescent="0.3">
      <c r="H105" s="8">
        <v>0.95</v>
      </c>
      <c r="I105">
        <v>6.9853900000000002E-3</v>
      </c>
      <c r="J105">
        <v>6.7527799999999999E-2</v>
      </c>
      <c r="K105">
        <v>4.9485000000000001E-2</v>
      </c>
      <c r="L105">
        <v>5.3816999999999997E-3</v>
      </c>
      <c r="M105" s="8">
        <v>0.95</v>
      </c>
      <c r="N105">
        <v>3.6205800000000001E-4</v>
      </c>
      <c r="O105">
        <v>3.79245E-2</v>
      </c>
      <c r="P105">
        <v>2.3273800000000001E-2</v>
      </c>
      <c r="Q105">
        <v>1.9599499999999998E-3</v>
      </c>
    </row>
    <row r="106" spans="8:17" x14ac:dyDescent="0.3">
      <c r="H106" s="8">
        <v>0.96</v>
      </c>
      <c r="I106">
        <v>5.1214099999999999E-3</v>
      </c>
      <c r="J106">
        <v>5.4723599999999997E-2</v>
      </c>
      <c r="K106">
        <v>3.9348399999999999E-2</v>
      </c>
      <c r="L106">
        <v>3.9439899999999996E-3</v>
      </c>
      <c r="M106" s="8">
        <v>0.96</v>
      </c>
      <c r="N106">
        <v>2.3808100000000001E-4</v>
      </c>
      <c r="O106">
        <v>2.99105E-2</v>
      </c>
      <c r="P106">
        <v>1.7886599999999999E-2</v>
      </c>
      <c r="Q106">
        <v>1.37907E-3</v>
      </c>
    </row>
    <row r="107" spans="8:17" x14ac:dyDescent="0.3">
      <c r="H107" s="8">
        <v>0.97</v>
      </c>
      <c r="I107">
        <v>3.7111499999999999E-3</v>
      </c>
      <c r="J107">
        <v>4.3953699999999998E-2</v>
      </c>
      <c r="K107">
        <v>3.0993099999999999E-2</v>
      </c>
      <c r="L107">
        <v>2.8569400000000001E-3</v>
      </c>
      <c r="M107" s="8">
        <v>0.97</v>
      </c>
      <c r="N107">
        <v>1.54287E-4</v>
      </c>
      <c r="O107">
        <v>2.33628E-2</v>
      </c>
      <c r="P107">
        <v>1.3603799999999999E-2</v>
      </c>
      <c r="Q107">
        <v>9.5806099999999996E-4</v>
      </c>
    </row>
    <row r="108" spans="8:17" x14ac:dyDescent="0.3">
      <c r="H108" s="8">
        <v>0.98</v>
      </c>
      <c r="I108">
        <v>2.6573E-3</v>
      </c>
      <c r="J108">
        <v>3.4982600000000003E-2</v>
      </c>
      <c r="K108">
        <v>2.4176699999999999E-2</v>
      </c>
      <c r="L108">
        <v>2.0450300000000002E-3</v>
      </c>
      <c r="M108" s="8">
        <v>0.98</v>
      </c>
      <c r="N108" s="22">
        <v>9.8503200000000002E-5</v>
      </c>
      <c r="O108">
        <v>1.8068799999999999E-2</v>
      </c>
      <c r="P108">
        <v>1.02369E-2</v>
      </c>
      <c r="Q108">
        <v>6.5696500000000002E-4</v>
      </c>
    </row>
    <row r="109" spans="8:17" x14ac:dyDescent="0.3">
      <c r="H109" s="8">
        <v>0.99</v>
      </c>
      <c r="I109">
        <v>1.87963E-3</v>
      </c>
      <c r="J109">
        <v>2.7583900000000001E-2</v>
      </c>
      <c r="K109">
        <v>1.8673700000000001E-2</v>
      </c>
      <c r="L109">
        <v>1.4461700000000001E-3</v>
      </c>
      <c r="M109" s="8">
        <v>0.99</v>
      </c>
      <c r="N109" s="22">
        <v>6.1937499999999994E-5</v>
      </c>
      <c r="O109">
        <v>1.38338E-2</v>
      </c>
      <c r="P109">
        <v>7.6199600000000003E-3</v>
      </c>
      <c r="Q109">
        <v>4.4453899999999998E-4</v>
      </c>
    </row>
    <row r="110" spans="8:17" x14ac:dyDescent="0.3">
      <c r="H110" s="8">
        <v>1</v>
      </c>
      <c r="I110">
        <v>1.3130800000000001E-3</v>
      </c>
      <c r="J110">
        <v>2.1543400000000001E-2</v>
      </c>
      <c r="K110">
        <v>1.4278000000000001E-2</v>
      </c>
      <c r="L110">
        <v>1.01005E-3</v>
      </c>
      <c r="M110" s="8">
        <v>1</v>
      </c>
      <c r="N110" s="22">
        <v>3.8343999999999997E-5</v>
      </c>
      <c r="O110">
        <v>1.0482399999999999E-2</v>
      </c>
      <c r="P110">
        <v>5.6093100000000002E-3</v>
      </c>
      <c r="Q110">
        <v>2.9673699999999999E-4</v>
      </c>
    </row>
    <row r="112" spans="8:17" x14ac:dyDescent="0.3">
      <c r="I112" s="1">
        <f>MAX(I11:I110)</f>
        <v>1.6637500000000001</v>
      </c>
      <c r="J112" s="1">
        <f t="shared" ref="J112:L112" si="4">MAX(J11:J110)</f>
        <v>1.6143400000000001</v>
      </c>
      <c r="K112" s="1">
        <f t="shared" si="4"/>
        <v>1.42127</v>
      </c>
      <c r="L112" s="1">
        <f t="shared" si="4"/>
        <v>1.7906500000000001</v>
      </c>
    </row>
    <row r="113" spans="9:12" x14ac:dyDescent="0.3">
      <c r="I113" s="17">
        <f>VLOOKUP(I112,I11:$M$110,5,FALSE)</f>
        <v>0.3</v>
      </c>
      <c r="J113" s="17">
        <f>VLOOKUP(J112,J11:$M$110,4,FALSE)</f>
        <v>0.54</v>
      </c>
      <c r="K113" s="17">
        <f>VLOOKUP(K112,K11:$M$110,3,FALSE)</f>
        <v>0.4</v>
      </c>
      <c r="L113" s="17">
        <f>VLOOKUP(L112,L11:$M$110,2,FALSE)</f>
        <v>0.44</v>
      </c>
    </row>
  </sheetData>
  <mergeCells count="5">
    <mergeCell ref="H1:K1"/>
    <mergeCell ref="M1:P1"/>
    <mergeCell ref="R1:U1"/>
    <mergeCell ref="N9:Q9"/>
    <mergeCell ref="I9:L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12CD-A5E5-4880-B989-F20B13E99949}">
  <dimension ref="A1:U113"/>
  <sheetViews>
    <sheetView zoomScale="55" zoomScaleNormal="55" workbookViewId="0">
      <selection activeCell="T10" sqref="T10:W13"/>
    </sheetView>
  </sheetViews>
  <sheetFormatPr baseColWidth="10" defaultRowHeight="14.4" x14ac:dyDescent="0.3"/>
  <cols>
    <col min="13" max="14" width="17.6640625" bestFit="1" customWidth="1"/>
  </cols>
  <sheetData>
    <row r="1" spans="1:21" x14ac:dyDescent="0.3">
      <c r="H1" s="29" t="s">
        <v>17</v>
      </c>
      <c r="I1" s="29"/>
      <c r="J1" s="29"/>
      <c r="K1" s="29"/>
      <c r="M1" s="29" t="s">
        <v>16</v>
      </c>
      <c r="N1" s="29"/>
      <c r="O1" s="29"/>
      <c r="P1" s="29"/>
      <c r="R1" s="29" t="s">
        <v>35</v>
      </c>
      <c r="S1" s="29"/>
      <c r="T1" s="29"/>
      <c r="U1" s="29"/>
    </row>
    <row r="2" spans="1:21" x14ac:dyDescent="0.3">
      <c r="A2" s="6" t="s">
        <v>18</v>
      </c>
      <c r="B2" s="2" t="s">
        <v>12</v>
      </c>
      <c r="C2" s="2" t="s">
        <v>27</v>
      </c>
      <c r="D2" s="2" t="s">
        <v>28</v>
      </c>
      <c r="E2" s="2" t="s">
        <v>29</v>
      </c>
      <c r="F2" s="2" t="s">
        <v>30</v>
      </c>
      <c r="H2" s="2" t="s">
        <v>0</v>
      </c>
      <c r="I2" s="2" t="s">
        <v>1</v>
      </c>
      <c r="J2" s="2" t="s">
        <v>2</v>
      </c>
      <c r="K2" s="2" t="s">
        <v>3</v>
      </c>
      <c r="M2" s="2" t="s">
        <v>33</v>
      </c>
      <c r="N2" s="2" t="s">
        <v>34</v>
      </c>
      <c r="O2" s="2" t="s">
        <v>31</v>
      </c>
      <c r="P2" s="2" t="s">
        <v>32</v>
      </c>
      <c r="R2" s="2" t="s">
        <v>36</v>
      </c>
      <c r="S2" s="2" t="s">
        <v>37</v>
      </c>
      <c r="T2" s="2" t="s">
        <v>38</v>
      </c>
      <c r="U2" s="2" t="s">
        <v>39</v>
      </c>
    </row>
    <row r="3" spans="1:21" x14ac:dyDescent="0.3">
      <c r="A3" s="3">
        <v>3</v>
      </c>
      <c r="B3" s="2">
        <v>1</v>
      </c>
      <c r="C3" s="2">
        <v>5</v>
      </c>
      <c r="D3" s="2">
        <v>10</v>
      </c>
      <c r="E3" s="2">
        <v>5</v>
      </c>
      <c r="F3" s="2">
        <v>5</v>
      </c>
      <c r="H3" s="2">
        <f>M3-C3</f>
        <v>3</v>
      </c>
      <c r="I3" s="2">
        <f t="shared" ref="I3:K3" si="0">N3-D3</f>
        <v>3</v>
      </c>
      <c r="J3" s="2">
        <f t="shared" si="0"/>
        <v>0</v>
      </c>
      <c r="K3" s="2">
        <f t="shared" si="0"/>
        <v>5</v>
      </c>
      <c r="M3" s="2">
        <v>8</v>
      </c>
      <c r="N3" s="2">
        <v>13</v>
      </c>
      <c r="O3" s="2">
        <v>5</v>
      </c>
      <c r="P3" s="2">
        <v>10</v>
      </c>
      <c r="R3" s="2">
        <v>10</v>
      </c>
      <c r="S3" s="2">
        <v>11</v>
      </c>
      <c r="T3" s="2">
        <v>13</v>
      </c>
      <c r="U3" s="2">
        <v>5</v>
      </c>
    </row>
    <row r="4" spans="1:21" x14ac:dyDescent="0.3">
      <c r="A4" s="3">
        <v>8</v>
      </c>
      <c r="B4" s="2">
        <v>2</v>
      </c>
      <c r="C4" s="2">
        <v>10</v>
      </c>
      <c r="D4" s="2">
        <v>15</v>
      </c>
      <c r="E4" s="2">
        <v>15</v>
      </c>
      <c r="F4" s="2">
        <v>30</v>
      </c>
      <c r="H4" s="2">
        <f>M4-C4</f>
        <v>0</v>
      </c>
      <c r="I4" s="2">
        <f t="shared" ref="I4" si="1">N4-D4</f>
        <v>16</v>
      </c>
      <c r="J4" s="2">
        <f t="shared" ref="J4" si="2">O4-E4</f>
        <v>5</v>
      </c>
      <c r="K4" s="2">
        <f t="shared" ref="K4" si="3">P4-F4</f>
        <v>10</v>
      </c>
      <c r="M4" s="2">
        <v>10</v>
      </c>
      <c r="N4" s="2">
        <v>31</v>
      </c>
      <c r="O4" s="2">
        <v>20</v>
      </c>
      <c r="P4" s="2">
        <v>40</v>
      </c>
      <c r="R4" s="2">
        <v>10</v>
      </c>
      <c r="S4" s="2">
        <v>27</v>
      </c>
      <c r="T4" s="2">
        <v>15</v>
      </c>
      <c r="U4" s="2">
        <v>30</v>
      </c>
    </row>
    <row r="5" spans="1:21" x14ac:dyDescent="0.3">
      <c r="A5" s="3">
        <v>9</v>
      </c>
      <c r="B5" s="2">
        <v>3</v>
      </c>
      <c r="C5" s="2">
        <v>5</v>
      </c>
      <c r="D5" s="2">
        <v>5</v>
      </c>
      <c r="E5" s="2">
        <v>5</v>
      </c>
      <c r="F5" s="2">
        <v>20</v>
      </c>
      <c r="H5" s="2">
        <f>M5-C5</f>
        <v>3</v>
      </c>
      <c r="I5" s="2">
        <f t="shared" ref="I5" si="4">N5-D5</f>
        <v>22</v>
      </c>
      <c r="J5" s="2">
        <f t="shared" ref="J5" si="5">O5-E5</f>
        <v>5</v>
      </c>
      <c r="K5" s="2">
        <f t="shared" ref="K5" si="6">P5-F5</f>
        <v>10</v>
      </c>
      <c r="M5" s="2">
        <v>8</v>
      </c>
      <c r="N5" s="2">
        <v>27</v>
      </c>
      <c r="O5" s="2">
        <v>10</v>
      </c>
      <c r="P5" s="2">
        <v>30</v>
      </c>
      <c r="R5" s="2">
        <v>9</v>
      </c>
      <c r="S5" s="2">
        <v>19</v>
      </c>
      <c r="T5" s="2">
        <v>14</v>
      </c>
      <c r="U5" s="2">
        <v>20</v>
      </c>
    </row>
    <row r="6" spans="1:21" x14ac:dyDescent="0.3">
      <c r="A6" s="3">
        <v>11</v>
      </c>
      <c r="B6" s="2">
        <v>4</v>
      </c>
      <c r="C6" s="2">
        <v>10</v>
      </c>
      <c r="D6" s="2">
        <v>5</v>
      </c>
      <c r="E6" s="2">
        <v>15</v>
      </c>
      <c r="F6" s="2">
        <v>5</v>
      </c>
      <c r="H6" s="2">
        <f>M6-C6</f>
        <v>1</v>
      </c>
      <c r="I6" s="2">
        <f t="shared" ref="I6" si="7">N6-D6</f>
        <v>8</v>
      </c>
      <c r="J6" s="2">
        <f t="shared" ref="J6" si="8">O6-E6</f>
        <v>5</v>
      </c>
      <c r="K6" s="2">
        <f t="shared" ref="K6" si="9">P6-F6</f>
        <v>5</v>
      </c>
      <c r="M6" s="2">
        <v>11</v>
      </c>
      <c r="N6" s="2">
        <v>13</v>
      </c>
      <c r="O6" s="2">
        <v>20</v>
      </c>
      <c r="P6" s="2">
        <v>10</v>
      </c>
      <c r="R6" s="2">
        <v>11</v>
      </c>
      <c r="S6" s="2">
        <v>10</v>
      </c>
      <c r="T6" s="2">
        <v>15</v>
      </c>
      <c r="U6" s="2">
        <v>6</v>
      </c>
    </row>
    <row r="8" spans="1:21" x14ac:dyDescent="0.3">
      <c r="B8" s="2"/>
      <c r="C8" s="2" t="s">
        <v>14</v>
      </c>
    </row>
    <row r="9" spans="1:21" x14ac:dyDescent="0.3">
      <c r="B9" s="2" t="s">
        <v>13</v>
      </c>
      <c r="C9" s="2">
        <v>1</v>
      </c>
    </row>
    <row r="10" spans="1:21" x14ac:dyDescent="0.3">
      <c r="B10" s="2" t="s">
        <v>4</v>
      </c>
      <c r="C10" s="2">
        <v>1</v>
      </c>
      <c r="H10" s="9"/>
      <c r="I10" s="4" t="s">
        <v>21</v>
      </c>
      <c r="J10" s="4" t="s">
        <v>22</v>
      </c>
      <c r="K10" s="4" t="s">
        <v>23</v>
      </c>
      <c r="L10" s="4" t="s">
        <v>24</v>
      </c>
      <c r="N10" s="4" t="s">
        <v>21</v>
      </c>
      <c r="O10" s="4" t="s">
        <v>22</v>
      </c>
      <c r="P10" s="4" t="s">
        <v>23</v>
      </c>
      <c r="Q10" s="4" t="s">
        <v>24</v>
      </c>
    </row>
    <row r="11" spans="1:21" x14ac:dyDescent="0.3">
      <c r="B11" s="2" t="s">
        <v>5</v>
      </c>
      <c r="C11" s="2">
        <v>0.75</v>
      </c>
      <c r="H11" s="8">
        <v>0.01</v>
      </c>
      <c r="I11">
        <v>1.1381300000000001</v>
      </c>
      <c r="J11">
        <v>0.56954700000000003</v>
      </c>
      <c r="K11">
        <v>0.74693399999999999</v>
      </c>
      <c r="L11">
        <v>0.77571400000000001</v>
      </c>
      <c r="M11" s="8">
        <v>0.01</v>
      </c>
      <c r="N11">
        <v>0.996193</v>
      </c>
      <c r="O11">
        <v>0.69964599999999999</v>
      </c>
      <c r="P11">
        <v>0.71346699999999996</v>
      </c>
      <c r="Q11">
        <v>0.92627899999999996</v>
      </c>
    </row>
    <row r="12" spans="1:21" x14ac:dyDescent="0.3">
      <c r="B12" s="2" t="s">
        <v>6</v>
      </c>
      <c r="C12" s="2">
        <v>0.5</v>
      </c>
      <c r="H12" s="8">
        <v>0.02</v>
      </c>
      <c r="I12">
        <v>1.1412</v>
      </c>
      <c r="J12">
        <v>0.571183</v>
      </c>
      <c r="K12">
        <v>0.74903600000000004</v>
      </c>
      <c r="L12">
        <v>0.77793299999999999</v>
      </c>
      <c r="M12" s="8">
        <v>0.02</v>
      </c>
      <c r="N12">
        <v>0.99900199999999995</v>
      </c>
      <c r="O12">
        <v>0.70163200000000003</v>
      </c>
      <c r="P12">
        <v>0.71549600000000002</v>
      </c>
      <c r="Q12">
        <v>0.92889699999999997</v>
      </c>
    </row>
    <row r="13" spans="1:21" x14ac:dyDescent="0.3">
      <c r="B13" s="2" t="s">
        <v>7</v>
      </c>
      <c r="C13" s="2">
        <v>1</v>
      </c>
      <c r="H13" s="8">
        <v>0.03</v>
      </c>
      <c r="I13">
        <v>1.1460300000000001</v>
      </c>
      <c r="J13">
        <v>0.57384800000000002</v>
      </c>
      <c r="K13">
        <v>0.75242100000000001</v>
      </c>
      <c r="L13">
        <v>0.78154299999999999</v>
      </c>
      <c r="M13" s="8">
        <v>0.03</v>
      </c>
      <c r="N13">
        <v>1.00353</v>
      </c>
      <c r="O13">
        <v>0.70484599999999997</v>
      </c>
      <c r="P13">
        <v>0.71878200000000003</v>
      </c>
      <c r="Q13">
        <v>0.93312300000000004</v>
      </c>
    </row>
    <row r="14" spans="1:21" x14ac:dyDescent="0.3">
      <c r="B14" s="2" t="s">
        <v>8</v>
      </c>
      <c r="C14" s="2">
        <v>1</v>
      </c>
      <c r="H14" s="8">
        <v>0.04</v>
      </c>
      <c r="I14">
        <v>1.1524300000000001</v>
      </c>
      <c r="J14">
        <v>0.57750800000000002</v>
      </c>
      <c r="K14">
        <v>0.75701399999999996</v>
      </c>
      <c r="L14">
        <v>0.78648899999999999</v>
      </c>
      <c r="M14" s="8">
        <v>0.04</v>
      </c>
      <c r="N14">
        <v>1.0096799999999999</v>
      </c>
      <c r="O14">
        <v>0.70923000000000003</v>
      </c>
      <c r="P14">
        <v>0.72326699999999999</v>
      </c>
      <c r="Q14">
        <v>0.93887100000000001</v>
      </c>
    </row>
    <row r="15" spans="1:21" x14ac:dyDescent="0.3">
      <c r="B15" s="2" t="s">
        <v>9</v>
      </c>
      <c r="C15" s="2">
        <v>200</v>
      </c>
      <c r="H15" s="8">
        <v>0.05</v>
      </c>
      <c r="I15">
        <v>1.1602600000000001</v>
      </c>
      <c r="J15">
        <v>0.58213599999999999</v>
      </c>
      <c r="K15">
        <v>0.76275800000000005</v>
      </c>
      <c r="L15">
        <v>0.79273000000000005</v>
      </c>
      <c r="M15" s="8">
        <v>0.05</v>
      </c>
      <c r="N15">
        <v>1.01738</v>
      </c>
      <c r="O15">
        <v>0.71473699999999996</v>
      </c>
      <c r="P15">
        <v>0.728908</v>
      </c>
      <c r="Q15">
        <v>0.94607600000000003</v>
      </c>
    </row>
    <row r="16" spans="1:21" x14ac:dyDescent="0.3">
      <c r="B16" s="2" t="s">
        <v>10</v>
      </c>
      <c r="C16" s="2">
        <v>0.5</v>
      </c>
      <c r="H16" s="8">
        <v>0.06</v>
      </c>
      <c r="I16">
        <v>1.1693800000000001</v>
      </c>
      <c r="J16">
        <v>0.58771499999999999</v>
      </c>
      <c r="K16">
        <v>0.76960700000000004</v>
      </c>
      <c r="L16">
        <v>0.80023900000000003</v>
      </c>
      <c r="M16" s="8">
        <v>0.06</v>
      </c>
      <c r="N16">
        <v>1.02657</v>
      </c>
      <c r="O16">
        <v>0.72133400000000003</v>
      </c>
      <c r="P16">
        <v>0.73567000000000005</v>
      </c>
      <c r="Q16">
        <v>0.95468699999999995</v>
      </c>
    </row>
    <row r="17" spans="2:17" x14ac:dyDescent="0.3">
      <c r="B17" s="2" t="s">
        <v>11</v>
      </c>
      <c r="C17" s="2">
        <v>0.65</v>
      </c>
      <c r="H17" s="8">
        <v>7.0000000000000007E-2</v>
      </c>
      <c r="I17">
        <v>1.1797</v>
      </c>
      <c r="J17">
        <v>0.59423599999999999</v>
      </c>
      <c r="K17">
        <v>0.777528</v>
      </c>
      <c r="L17">
        <v>0.80899799999999999</v>
      </c>
      <c r="M17" s="8">
        <v>7.0000000000000007E-2</v>
      </c>
      <c r="N17">
        <v>1.03722</v>
      </c>
      <c r="O17">
        <v>0.72899700000000001</v>
      </c>
      <c r="P17">
        <v>0.74353199999999997</v>
      </c>
      <c r="Q17">
        <v>0.96466600000000002</v>
      </c>
    </row>
    <row r="18" spans="2:17" x14ac:dyDescent="0.3">
      <c r="H18" s="8">
        <v>0.08</v>
      </c>
      <c r="I18">
        <v>1.1911400000000001</v>
      </c>
      <c r="J18">
        <v>0.60169399999999995</v>
      </c>
      <c r="K18">
        <v>0.78649400000000003</v>
      </c>
      <c r="L18">
        <v>0.81899900000000003</v>
      </c>
      <c r="M18" s="8">
        <v>0.08</v>
      </c>
      <c r="N18">
        <v>1.0492699999999999</v>
      </c>
      <c r="O18">
        <v>0.73771100000000001</v>
      </c>
      <c r="P18">
        <v>0.75247900000000001</v>
      </c>
      <c r="Q18">
        <v>0.97598799999999997</v>
      </c>
    </row>
    <row r="19" spans="2:17" x14ac:dyDescent="0.3">
      <c r="H19" s="8">
        <v>0.09</v>
      </c>
      <c r="I19">
        <v>1.2036199999999999</v>
      </c>
      <c r="J19">
        <v>0.610093</v>
      </c>
      <c r="K19">
        <v>0.79648799999999997</v>
      </c>
      <c r="L19">
        <v>0.83023999999999998</v>
      </c>
      <c r="M19" s="8">
        <v>0.09</v>
      </c>
      <c r="N19">
        <v>1.0627200000000001</v>
      </c>
      <c r="O19">
        <v>0.74746500000000005</v>
      </c>
      <c r="P19">
        <v>0.76250300000000004</v>
      </c>
      <c r="Q19">
        <v>0.98863400000000001</v>
      </c>
    </row>
    <row r="20" spans="2:17" x14ac:dyDescent="0.3">
      <c r="H20" s="8">
        <v>0.1</v>
      </c>
      <c r="I20">
        <v>1.21709</v>
      </c>
      <c r="J20">
        <v>0.61944100000000002</v>
      </c>
      <c r="K20">
        <v>0.80749899999999997</v>
      </c>
      <c r="L20">
        <v>0.84272899999999995</v>
      </c>
      <c r="M20" s="8">
        <v>0.1</v>
      </c>
      <c r="N20">
        <v>1.0775600000000001</v>
      </c>
      <c r="O20">
        <v>0.75825900000000002</v>
      </c>
      <c r="P20">
        <v>0.77360300000000004</v>
      </c>
      <c r="Q20">
        <v>1.0025999999999999</v>
      </c>
    </row>
    <row r="21" spans="2:17" x14ac:dyDescent="0.3">
      <c r="H21" s="8">
        <v>0.11</v>
      </c>
      <c r="I21">
        <v>1.2314799999999999</v>
      </c>
      <c r="J21">
        <v>0.62975000000000003</v>
      </c>
      <c r="K21">
        <v>0.819519</v>
      </c>
      <c r="L21">
        <v>0.85647700000000004</v>
      </c>
      <c r="M21" s="8">
        <v>0.11</v>
      </c>
      <c r="N21">
        <v>1.0937699999999999</v>
      </c>
      <c r="O21">
        <v>0.77009300000000003</v>
      </c>
      <c r="P21">
        <v>0.78578300000000001</v>
      </c>
      <c r="Q21">
        <v>1.0178700000000001</v>
      </c>
    </row>
    <row r="22" spans="2:17" x14ac:dyDescent="0.3">
      <c r="H22" s="8">
        <v>0.12</v>
      </c>
      <c r="I22">
        <v>1.24675</v>
      </c>
      <c r="J22">
        <v>0.641038</v>
      </c>
      <c r="K22">
        <v>0.83254700000000004</v>
      </c>
      <c r="L22">
        <v>0.871502</v>
      </c>
      <c r="M22" s="8">
        <v>0.12</v>
      </c>
      <c r="N22">
        <v>1.1113599999999999</v>
      </c>
      <c r="O22">
        <v>0.78297399999999995</v>
      </c>
      <c r="P22">
        <v>0.79905199999999998</v>
      </c>
      <c r="Q22">
        <v>1.0344599999999999</v>
      </c>
    </row>
    <row r="23" spans="2:17" x14ac:dyDescent="0.3">
      <c r="H23" s="8">
        <v>0.13</v>
      </c>
      <c r="I23">
        <v>1.26285</v>
      </c>
      <c r="J23">
        <v>0.65332500000000004</v>
      </c>
      <c r="K23">
        <v>0.84658299999999997</v>
      </c>
      <c r="L23">
        <v>0.88782799999999995</v>
      </c>
      <c r="M23" s="8">
        <v>0.13</v>
      </c>
      <c r="N23">
        <v>1.13032</v>
      </c>
      <c r="O23">
        <v>0.79691299999999998</v>
      </c>
      <c r="P23">
        <v>0.81342199999999998</v>
      </c>
      <c r="Q23">
        <v>1.05237</v>
      </c>
    </row>
    <row r="24" spans="2:17" x14ac:dyDescent="0.3">
      <c r="H24" s="8">
        <v>0.14000000000000001</v>
      </c>
      <c r="I24">
        <v>1.27973</v>
      </c>
      <c r="J24">
        <v>0.66663700000000004</v>
      </c>
      <c r="K24">
        <v>0.86163000000000001</v>
      </c>
      <c r="L24">
        <v>0.90548099999999998</v>
      </c>
      <c r="M24" s="8">
        <v>0.14000000000000001</v>
      </c>
      <c r="N24">
        <v>1.1506700000000001</v>
      </c>
      <c r="O24">
        <v>0.81192299999999995</v>
      </c>
      <c r="P24">
        <v>0.82890900000000001</v>
      </c>
      <c r="Q24">
        <v>1.07162</v>
      </c>
    </row>
    <row r="25" spans="2:17" x14ac:dyDescent="0.3">
      <c r="H25" s="8">
        <v>0.15</v>
      </c>
      <c r="I25">
        <v>1.2973399999999999</v>
      </c>
      <c r="J25">
        <v>0.68100099999999997</v>
      </c>
      <c r="K25">
        <v>0.87769399999999997</v>
      </c>
      <c r="L25">
        <v>0.92449300000000001</v>
      </c>
      <c r="M25" s="8">
        <v>0.15</v>
      </c>
      <c r="N25">
        <v>1.17242</v>
      </c>
      <c r="O25">
        <v>0.82801999999999998</v>
      </c>
      <c r="P25">
        <v>0.84553199999999995</v>
      </c>
      <c r="Q25">
        <v>1.0922099999999999</v>
      </c>
    </row>
    <row r="26" spans="2:17" x14ac:dyDescent="0.3">
      <c r="H26" s="8">
        <v>0.16</v>
      </c>
      <c r="I26">
        <v>1.3156300000000001</v>
      </c>
      <c r="J26">
        <v>0.69644899999999998</v>
      </c>
      <c r="K26">
        <v>0.89478100000000005</v>
      </c>
      <c r="L26">
        <v>0.94489999999999996</v>
      </c>
      <c r="M26" s="8">
        <v>0.16</v>
      </c>
      <c r="N26">
        <v>1.1955800000000001</v>
      </c>
      <c r="O26">
        <v>0.84522299999999995</v>
      </c>
      <c r="P26">
        <v>0.86331100000000005</v>
      </c>
      <c r="Q26">
        <v>1.11416</v>
      </c>
    </row>
    <row r="27" spans="2:17" x14ac:dyDescent="0.3">
      <c r="H27" s="8">
        <v>0.17</v>
      </c>
      <c r="I27">
        <v>1.3345499999999999</v>
      </c>
      <c r="J27">
        <v>0.71301499999999995</v>
      </c>
      <c r="K27">
        <v>0.91289799999999999</v>
      </c>
      <c r="L27">
        <v>0.96673799999999999</v>
      </c>
      <c r="M27" s="8">
        <v>0.17</v>
      </c>
      <c r="N27">
        <v>1.2201599999999999</v>
      </c>
      <c r="O27">
        <v>0.86355099999999996</v>
      </c>
      <c r="P27">
        <v>0.88227100000000003</v>
      </c>
      <c r="Q27">
        <v>1.1374899999999999</v>
      </c>
    </row>
    <row r="28" spans="2:17" x14ac:dyDescent="0.3">
      <c r="H28" s="8">
        <v>0.18</v>
      </c>
      <c r="I28">
        <v>1.35405</v>
      </c>
      <c r="J28">
        <v>0.73073600000000005</v>
      </c>
      <c r="K28">
        <v>0.93205300000000002</v>
      </c>
      <c r="L28">
        <v>0.99004999999999999</v>
      </c>
      <c r="M28" s="8">
        <v>0.18</v>
      </c>
      <c r="N28">
        <v>1.24617</v>
      </c>
      <c r="O28">
        <v>0.88302599999999998</v>
      </c>
      <c r="P28">
        <v>0.90243600000000002</v>
      </c>
      <c r="Q28">
        <v>1.16221</v>
      </c>
    </row>
    <row r="29" spans="2:17" x14ac:dyDescent="0.3">
      <c r="H29" s="8">
        <v>0.19</v>
      </c>
      <c r="I29">
        <v>1.3740600000000001</v>
      </c>
      <c r="J29">
        <v>0.74965300000000001</v>
      </c>
      <c r="K29">
        <v>0.95225199999999999</v>
      </c>
      <c r="L29">
        <v>1.01488</v>
      </c>
      <c r="M29" s="8">
        <v>0.19</v>
      </c>
      <c r="N29">
        <v>1.27363</v>
      </c>
      <c r="O29">
        <v>0.90366999999999997</v>
      </c>
      <c r="P29">
        <v>0.92383099999999996</v>
      </c>
      <c r="Q29">
        <v>1.18835</v>
      </c>
    </row>
    <row r="30" spans="2:17" x14ac:dyDescent="0.3">
      <c r="H30" s="8">
        <v>0.2</v>
      </c>
      <c r="I30">
        <v>1.3945099999999999</v>
      </c>
      <c r="J30">
        <v>0.76980599999999999</v>
      </c>
      <c r="K30">
        <v>0.97350199999999998</v>
      </c>
      <c r="L30">
        <v>1.0412699999999999</v>
      </c>
      <c r="M30" s="8">
        <v>0.2</v>
      </c>
      <c r="N30">
        <v>1.3025500000000001</v>
      </c>
      <c r="O30">
        <v>0.92550399999999999</v>
      </c>
      <c r="P30">
        <v>0.94648299999999996</v>
      </c>
      <c r="Q30">
        <v>1.21591</v>
      </c>
    </row>
    <row r="31" spans="2:17" x14ac:dyDescent="0.3">
      <c r="H31" s="8">
        <v>0.21</v>
      </c>
      <c r="I31">
        <v>1.41533</v>
      </c>
      <c r="J31">
        <v>0.79124000000000005</v>
      </c>
      <c r="K31">
        <v>0.99580599999999997</v>
      </c>
      <c r="L31">
        <v>1.0692699999999999</v>
      </c>
      <c r="M31" s="8">
        <v>0.21</v>
      </c>
      <c r="N31">
        <v>1.3329299999999999</v>
      </c>
      <c r="O31">
        <v>0.94855199999999995</v>
      </c>
      <c r="P31">
        <v>0.970418</v>
      </c>
      <c r="Q31">
        <v>1.24492</v>
      </c>
    </row>
    <row r="32" spans="2:17" x14ac:dyDescent="0.3">
      <c r="H32" s="8">
        <v>0.22</v>
      </c>
      <c r="I32">
        <v>1.4364300000000001</v>
      </c>
      <c r="J32">
        <v>0.81400099999999997</v>
      </c>
      <c r="K32">
        <v>1.0191699999999999</v>
      </c>
      <c r="L32">
        <v>1.09893</v>
      </c>
      <c r="M32" s="8">
        <v>0.22</v>
      </c>
      <c r="N32">
        <v>1.3647899999999999</v>
      </c>
      <c r="O32">
        <v>0.97283500000000001</v>
      </c>
      <c r="P32">
        <v>0.99566200000000005</v>
      </c>
      <c r="Q32">
        <v>1.27539</v>
      </c>
    </row>
    <row r="33" spans="8:17" x14ac:dyDescent="0.3">
      <c r="H33" s="8">
        <v>0.23</v>
      </c>
      <c r="I33">
        <v>1.45774</v>
      </c>
      <c r="J33">
        <v>0.83813599999999999</v>
      </c>
      <c r="K33">
        <v>1.04358</v>
      </c>
      <c r="L33">
        <v>1.13029</v>
      </c>
      <c r="M33" s="8">
        <v>0.23</v>
      </c>
      <c r="N33">
        <v>1.39812</v>
      </c>
      <c r="O33">
        <v>0.99837100000000001</v>
      </c>
      <c r="P33">
        <v>1.02224</v>
      </c>
      <c r="Q33">
        <v>1.30732</v>
      </c>
    </row>
    <row r="34" spans="8:17" x14ac:dyDescent="0.3">
      <c r="H34" s="8">
        <v>0.24</v>
      </c>
      <c r="I34">
        <v>1.4791399999999999</v>
      </c>
      <c r="J34">
        <v>0.86369300000000004</v>
      </c>
      <c r="K34">
        <v>1.0690500000000001</v>
      </c>
      <c r="L34">
        <v>1.1634100000000001</v>
      </c>
      <c r="M34" s="8">
        <v>0.24</v>
      </c>
      <c r="N34">
        <v>1.43293</v>
      </c>
      <c r="O34">
        <v>1.02518</v>
      </c>
      <c r="P34">
        <v>1.05017</v>
      </c>
      <c r="Q34">
        <v>1.34073</v>
      </c>
    </row>
    <row r="35" spans="8:17" x14ac:dyDescent="0.3">
      <c r="H35" s="8">
        <v>0.25</v>
      </c>
      <c r="I35">
        <v>1.5005299999999999</v>
      </c>
      <c r="J35">
        <v>0.89072200000000001</v>
      </c>
      <c r="K35">
        <v>1.09555</v>
      </c>
      <c r="L35">
        <v>1.1983299999999999</v>
      </c>
      <c r="M35" s="8">
        <v>0.25</v>
      </c>
      <c r="N35">
        <v>1.46919</v>
      </c>
      <c r="O35">
        <v>1.05328</v>
      </c>
      <c r="P35">
        <v>1.0794900000000001</v>
      </c>
      <c r="Q35">
        <v>1.3755999999999999</v>
      </c>
    </row>
    <row r="36" spans="8:17" x14ac:dyDescent="0.3">
      <c r="H36" s="8">
        <v>0.26</v>
      </c>
      <c r="I36">
        <v>1.52179</v>
      </c>
      <c r="J36">
        <v>0.91927199999999998</v>
      </c>
      <c r="K36">
        <v>1.1230800000000001</v>
      </c>
      <c r="L36">
        <v>1.23509</v>
      </c>
      <c r="M36" s="8">
        <v>0.26</v>
      </c>
      <c r="N36">
        <v>1.50688</v>
      </c>
      <c r="O36">
        <v>1.08267</v>
      </c>
      <c r="P36">
        <v>1.11019</v>
      </c>
      <c r="Q36">
        <v>1.41194</v>
      </c>
    </row>
    <row r="37" spans="8:17" x14ac:dyDescent="0.3">
      <c r="H37" s="8">
        <v>0.27</v>
      </c>
      <c r="I37">
        <v>1.5427999999999999</v>
      </c>
      <c r="J37">
        <v>0.94938999999999996</v>
      </c>
      <c r="K37">
        <v>1.1516200000000001</v>
      </c>
      <c r="L37">
        <v>1.2737400000000001</v>
      </c>
      <c r="M37" s="8">
        <v>0.27</v>
      </c>
      <c r="N37">
        <v>1.54599</v>
      </c>
      <c r="O37">
        <v>1.11337</v>
      </c>
      <c r="P37">
        <v>1.1423099999999999</v>
      </c>
      <c r="Q37">
        <v>1.4497199999999999</v>
      </c>
    </row>
    <row r="38" spans="8:17" x14ac:dyDescent="0.3">
      <c r="H38" s="8">
        <v>0.28000000000000003</v>
      </c>
      <c r="I38">
        <v>1.56341</v>
      </c>
      <c r="J38">
        <v>0.98112500000000002</v>
      </c>
      <c r="K38">
        <v>1.18113</v>
      </c>
      <c r="L38">
        <v>1.3143100000000001</v>
      </c>
      <c r="M38" s="8">
        <v>0.28000000000000003</v>
      </c>
      <c r="N38">
        <v>1.5864499999999999</v>
      </c>
      <c r="O38">
        <v>1.1453800000000001</v>
      </c>
      <c r="P38">
        <v>1.1758299999999999</v>
      </c>
      <c r="Q38">
        <v>1.48891</v>
      </c>
    </row>
    <row r="39" spans="8:17" x14ac:dyDescent="0.3">
      <c r="H39" s="8">
        <v>0.28999999999999998</v>
      </c>
      <c r="I39">
        <v>1.58348</v>
      </c>
      <c r="J39">
        <v>1.0145200000000001</v>
      </c>
      <c r="K39">
        <v>1.2115800000000001</v>
      </c>
      <c r="L39">
        <v>1.3568199999999999</v>
      </c>
      <c r="M39" s="8">
        <v>0.28999999999999998</v>
      </c>
      <c r="N39">
        <v>1.62822</v>
      </c>
      <c r="O39">
        <v>1.1787000000000001</v>
      </c>
      <c r="P39">
        <v>1.2107699999999999</v>
      </c>
      <c r="Q39">
        <v>1.52948</v>
      </c>
    </row>
    <row r="40" spans="8:17" x14ac:dyDescent="0.3">
      <c r="H40" s="8">
        <v>0.3</v>
      </c>
      <c r="I40">
        <v>1.60284</v>
      </c>
      <c r="J40">
        <v>1.04962</v>
      </c>
      <c r="K40">
        <v>1.2429300000000001</v>
      </c>
      <c r="L40">
        <v>1.4013</v>
      </c>
      <c r="M40" s="8">
        <v>0.3</v>
      </c>
      <c r="N40">
        <v>1.6712</v>
      </c>
      <c r="O40">
        <v>1.2133</v>
      </c>
      <c r="P40">
        <v>1.24712</v>
      </c>
      <c r="Q40">
        <v>1.5713699999999999</v>
      </c>
    </row>
    <row r="41" spans="8:17" x14ac:dyDescent="0.3">
      <c r="H41" s="8">
        <v>0.31</v>
      </c>
      <c r="I41">
        <v>1.6213299999999999</v>
      </c>
      <c r="J41">
        <v>1.0864499999999999</v>
      </c>
      <c r="K41">
        <v>1.27511</v>
      </c>
      <c r="L41">
        <v>1.4477500000000001</v>
      </c>
      <c r="M41" s="8">
        <v>0.31</v>
      </c>
      <c r="N41">
        <v>1.7153099999999999</v>
      </c>
      <c r="O41">
        <v>1.24916</v>
      </c>
      <c r="P41">
        <v>1.2848599999999999</v>
      </c>
      <c r="Q41">
        <v>1.61449</v>
      </c>
    </row>
    <row r="42" spans="8:17" x14ac:dyDescent="0.3">
      <c r="H42" s="8">
        <v>0.32</v>
      </c>
      <c r="I42">
        <v>1.6387700000000001</v>
      </c>
      <c r="J42">
        <v>1.1250500000000001</v>
      </c>
      <c r="K42">
        <v>1.3080700000000001</v>
      </c>
      <c r="L42">
        <v>1.4961500000000001</v>
      </c>
      <c r="M42" s="8">
        <v>0.32</v>
      </c>
      <c r="N42">
        <v>1.7604</v>
      </c>
      <c r="O42">
        <v>1.28626</v>
      </c>
      <c r="P42">
        <v>1.32395</v>
      </c>
      <c r="Q42">
        <v>1.65876</v>
      </c>
    </row>
    <row r="43" spans="8:17" x14ac:dyDescent="0.3">
      <c r="H43" s="8">
        <v>0.33</v>
      </c>
      <c r="I43">
        <v>1.6549799999999999</v>
      </c>
      <c r="J43">
        <v>1.16544</v>
      </c>
      <c r="K43">
        <v>1.34171</v>
      </c>
      <c r="L43">
        <v>1.5464800000000001</v>
      </c>
      <c r="M43" s="8">
        <v>0.33</v>
      </c>
      <c r="N43">
        <v>1.80633</v>
      </c>
      <c r="O43">
        <v>1.3245400000000001</v>
      </c>
      <c r="P43">
        <v>1.36435</v>
      </c>
      <c r="Q43">
        <v>1.7040500000000001</v>
      </c>
    </row>
    <row r="44" spans="8:17" x14ac:dyDescent="0.3">
      <c r="H44" s="8">
        <v>0.34</v>
      </c>
      <c r="I44">
        <v>1.6697500000000001</v>
      </c>
      <c r="J44">
        <v>1.2076199999999999</v>
      </c>
      <c r="K44">
        <v>1.3759399999999999</v>
      </c>
      <c r="L44">
        <v>1.59867</v>
      </c>
      <c r="M44" s="8">
        <v>0.34</v>
      </c>
      <c r="N44">
        <v>1.85287</v>
      </c>
      <c r="O44">
        <v>1.3639300000000001</v>
      </c>
      <c r="P44">
        <v>1.4059900000000001</v>
      </c>
      <c r="Q44">
        <v>1.7501800000000001</v>
      </c>
    </row>
    <row r="45" spans="8:17" x14ac:dyDescent="0.3">
      <c r="H45" s="8">
        <v>0.35</v>
      </c>
      <c r="I45">
        <v>1.6829000000000001</v>
      </c>
      <c r="J45">
        <v>1.2515799999999999</v>
      </c>
      <c r="K45">
        <v>1.4106399999999999</v>
      </c>
      <c r="L45">
        <v>1.6526099999999999</v>
      </c>
      <c r="M45" s="8">
        <v>0.35</v>
      </c>
      <c r="N45">
        <v>1.89978</v>
      </c>
      <c r="O45">
        <v>1.4043399999999999</v>
      </c>
      <c r="P45">
        <v>1.4488000000000001</v>
      </c>
      <c r="Q45">
        <v>1.79697</v>
      </c>
    </row>
    <row r="46" spans="8:17" x14ac:dyDescent="0.3">
      <c r="H46" s="8">
        <v>0.36</v>
      </c>
      <c r="I46">
        <v>1.6942200000000001</v>
      </c>
      <c r="J46">
        <v>1.2972999999999999</v>
      </c>
      <c r="K46">
        <v>1.4456800000000001</v>
      </c>
      <c r="L46">
        <v>1.70818</v>
      </c>
      <c r="M46" s="8">
        <v>0.36</v>
      </c>
      <c r="N46">
        <v>1.94676</v>
      </c>
      <c r="O46">
        <v>1.4456800000000001</v>
      </c>
      <c r="P46">
        <v>1.49264</v>
      </c>
      <c r="Q46">
        <v>1.84416</v>
      </c>
    </row>
    <row r="47" spans="8:17" x14ac:dyDescent="0.3">
      <c r="H47" s="8">
        <v>0.37</v>
      </c>
      <c r="I47">
        <v>1.7035</v>
      </c>
      <c r="J47">
        <v>1.3447100000000001</v>
      </c>
      <c r="K47">
        <v>1.4809099999999999</v>
      </c>
      <c r="L47">
        <v>1.7651600000000001</v>
      </c>
      <c r="M47" s="8">
        <v>0.37</v>
      </c>
      <c r="N47">
        <v>1.9934000000000001</v>
      </c>
      <c r="O47">
        <v>1.4878</v>
      </c>
      <c r="P47">
        <v>1.53738</v>
      </c>
      <c r="Q47">
        <v>1.8914299999999999</v>
      </c>
    </row>
    <row r="48" spans="8:17" x14ac:dyDescent="0.3">
      <c r="H48" s="8">
        <v>0.38</v>
      </c>
      <c r="I48">
        <v>1.71055</v>
      </c>
      <c r="J48">
        <v>1.3937200000000001</v>
      </c>
      <c r="K48">
        <v>1.5161500000000001</v>
      </c>
      <c r="L48">
        <v>1.8232900000000001</v>
      </c>
      <c r="M48" s="8">
        <v>0.38</v>
      </c>
      <c r="N48">
        <v>2.0392600000000001</v>
      </c>
      <c r="O48">
        <v>1.5305200000000001</v>
      </c>
      <c r="P48">
        <v>1.58284</v>
      </c>
      <c r="Q48">
        <v>1.93842</v>
      </c>
    </row>
    <row r="49" spans="8:17" x14ac:dyDescent="0.3">
      <c r="H49" s="8">
        <v>0.39</v>
      </c>
      <c r="I49">
        <v>1.7151799999999999</v>
      </c>
      <c r="J49">
        <v>1.4442200000000001</v>
      </c>
      <c r="K49">
        <v>1.55118</v>
      </c>
      <c r="L49">
        <v>1.8822000000000001</v>
      </c>
      <c r="M49" s="8">
        <v>0.39</v>
      </c>
      <c r="N49">
        <v>2.0837400000000001</v>
      </c>
      <c r="O49">
        <v>1.57365</v>
      </c>
      <c r="P49">
        <v>1.6287700000000001</v>
      </c>
      <c r="Q49">
        <v>1.98464</v>
      </c>
    </row>
    <row r="50" spans="8:17" x14ac:dyDescent="0.3">
      <c r="H50" s="8">
        <v>0.4</v>
      </c>
      <c r="I50">
        <v>1.71719</v>
      </c>
      <c r="J50">
        <v>1.4960100000000001</v>
      </c>
      <c r="K50">
        <v>1.58578</v>
      </c>
      <c r="L50">
        <v>1.94143</v>
      </c>
      <c r="M50" s="8">
        <v>0.4</v>
      </c>
      <c r="N50">
        <v>2.1261700000000001</v>
      </c>
      <c r="O50">
        <v>1.61693</v>
      </c>
      <c r="P50">
        <v>1.6749000000000001</v>
      </c>
      <c r="Q50">
        <v>2.02955</v>
      </c>
    </row>
    <row r="51" spans="8:17" x14ac:dyDescent="0.3">
      <c r="H51" s="8">
        <v>0.41</v>
      </c>
      <c r="I51">
        <v>1.7164299999999999</v>
      </c>
      <c r="J51">
        <v>1.5488599999999999</v>
      </c>
      <c r="K51">
        <v>1.6196699999999999</v>
      </c>
      <c r="L51">
        <v>2.0003799999999998</v>
      </c>
      <c r="M51" s="8">
        <v>0.41</v>
      </c>
      <c r="N51">
        <v>2.1657099999999998</v>
      </c>
      <c r="O51">
        <v>1.66004</v>
      </c>
      <c r="P51">
        <v>1.72088</v>
      </c>
      <c r="Q51">
        <v>2.0724300000000002</v>
      </c>
    </row>
    <row r="52" spans="8:17" x14ac:dyDescent="0.3">
      <c r="H52" s="8">
        <v>0.42</v>
      </c>
      <c r="I52">
        <v>1.7127300000000001</v>
      </c>
      <c r="J52">
        <v>1.6024400000000001</v>
      </c>
      <c r="K52">
        <v>1.65256</v>
      </c>
      <c r="L52">
        <v>2.0582699999999998</v>
      </c>
      <c r="M52" s="8">
        <v>0.42</v>
      </c>
      <c r="N52">
        <v>2.2013600000000002</v>
      </c>
      <c r="O52">
        <v>1.70262</v>
      </c>
      <c r="P52">
        <v>1.7662800000000001</v>
      </c>
      <c r="Q52">
        <v>2.1124800000000001</v>
      </c>
    </row>
    <row r="53" spans="8:17" x14ac:dyDescent="0.3">
      <c r="H53" s="8">
        <v>0.43</v>
      </c>
      <c r="I53">
        <v>1.7059800000000001</v>
      </c>
      <c r="J53">
        <v>1.6563399999999999</v>
      </c>
      <c r="K53">
        <v>1.6840999999999999</v>
      </c>
      <c r="L53">
        <v>2.11416</v>
      </c>
      <c r="M53" s="8">
        <v>0.43</v>
      </c>
      <c r="N53">
        <v>2.2319499999999999</v>
      </c>
      <c r="O53">
        <v>1.74424</v>
      </c>
      <c r="P53">
        <v>1.8105899999999999</v>
      </c>
      <c r="Q53">
        <v>2.1487099999999999</v>
      </c>
    </row>
    <row r="54" spans="8:17" x14ac:dyDescent="0.3">
      <c r="H54" s="8">
        <v>0.44</v>
      </c>
      <c r="I54">
        <v>1.69608</v>
      </c>
      <c r="J54">
        <v>1.7100500000000001</v>
      </c>
      <c r="K54">
        <v>1.71391</v>
      </c>
      <c r="L54">
        <v>2.16689</v>
      </c>
      <c r="M54" s="8">
        <v>0.44</v>
      </c>
      <c r="N54">
        <v>2.2560899999999999</v>
      </c>
      <c r="O54">
        <v>1.7843599999999999</v>
      </c>
      <c r="P54">
        <v>1.8532</v>
      </c>
      <c r="Q54">
        <v>2.17997</v>
      </c>
    </row>
    <row r="55" spans="8:17" x14ac:dyDescent="0.3">
      <c r="H55" s="8">
        <v>0.45</v>
      </c>
      <c r="I55">
        <v>1.6829700000000001</v>
      </c>
      <c r="J55">
        <v>1.76292</v>
      </c>
      <c r="K55">
        <v>1.7415799999999999</v>
      </c>
      <c r="L55">
        <v>2.2150599999999998</v>
      </c>
      <c r="M55" s="8">
        <v>0.45</v>
      </c>
      <c r="N55">
        <v>2.2722500000000001</v>
      </c>
      <c r="O55">
        <v>1.8224</v>
      </c>
      <c r="P55">
        <v>1.8934</v>
      </c>
      <c r="Q55">
        <v>2.2049400000000001</v>
      </c>
    </row>
    <row r="56" spans="8:17" x14ac:dyDescent="0.3">
      <c r="H56" s="8">
        <v>0.46</v>
      </c>
      <c r="I56">
        <v>1.6666399999999999</v>
      </c>
      <c r="J56">
        <v>1.81419</v>
      </c>
      <c r="K56">
        <v>1.7666500000000001</v>
      </c>
      <c r="L56">
        <v>2.2570199999999998</v>
      </c>
      <c r="M56" s="8">
        <v>0.46</v>
      </c>
      <c r="N56">
        <v>2.27867</v>
      </c>
      <c r="O56">
        <v>1.8576699999999999</v>
      </c>
      <c r="P56">
        <v>1.9303600000000001</v>
      </c>
      <c r="Q56">
        <v>2.22214</v>
      </c>
    </row>
    <row r="57" spans="8:17" x14ac:dyDescent="0.3">
      <c r="H57" s="8">
        <v>0.47</v>
      </c>
      <c r="I57">
        <v>1.6471100000000001</v>
      </c>
      <c r="J57">
        <v>1.86293</v>
      </c>
      <c r="K57">
        <v>1.7886299999999999</v>
      </c>
      <c r="L57">
        <v>2.2909000000000002</v>
      </c>
      <c r="M57" s="8">
        <v>0.47</v>
      </c>
      <c r="N57">
        <v>2.27352</v>
      </c>
      <c r="O57">
        <v>1.8894</v>
      </c>
      <c r="P57">
        <v>1.96315</v>
      </c>
      <c r="Q57">
        <v>2.2299500000000001</v>
      </c>
    </row>
    <row r="58" spans="8:17" x14ac:dyDescent="0.3">
      <c r="H58" s="8">
        <v>0.48</v>
      </c>
      <c r="I58">
        <v>1.6244499999999999</v>
      </c>
      <c r="J58">
        <v>1.90811</v>
      </c>
      <c r="K58">
        <v>1.80701</v>
      </c>
      <c r="L58">
        <v>2.3146499999999999</v>
      </c>
      <c r="M58" s="8">
        <v>0.48</v>
      </c>
      <c r="N58">
        <v>2.2549199999999998</v>
      </c>
      <c r="O58">
        <v>1.9167400000000001</v>
      </c>
      <c r="P58">
        <v>1.99074</v>
      </c>
      <c r="Q58">
        <v>2.2266599999999999</v>
      </c>
    </row>
    <row r="59" spans="8:17" x14ac:dyDescent="0.3">
      <c r="H59" s="8">
        <v>0.49</v>
      </c>
      <c r="I59">
        <v>1.5988</v>
      </c>
      <c r="J59">
        <v>1.94855</v>
      </c>
      <c r="K59">
        <v>1.82125</v>
      </c>
      <c r="L59">
        <v>2.32612</v>
      </c>
      <c r="M59" s="8">
        <v>0.49</v>
      </c>
      <c r="N59">
        <v>2.2210899999999998</v>
      </c>
      <c r="O59">
        <v>1.93879</v>
      </c>
      <c r="P59">
        <v>2.0120499999999999</v>
      </c>
      <c r="Q59">
        <v>2.21062</v>
      </c>
    </row>
    <row r="60" spans="8:17" x14ac:dyDescent="0.3">
      <c r="H60" s="8">
        <v>0.5</v>
      </c>
      <c r="I60">
        <v>1.5703</v>
      </c>
      <c r="J60">
        <v>1.98302</v>
      </c>
      <c r="K60">
        <v>1.83084</v>
      </c>
      <c r="L60">
        <v>2.3231799999999998</v>
      </c>
      <c r="M60" s="8">
        <v>0.5</v>
      </c>
      <c r="N60">
        <v>2.17056</v>
      </c>
      <c r="O60">
        <v>1.95465</v>
      </c>
      <c r="P60">
        <v>2.02596</v>
      </c>
      <c r="Q60">
        <v>2.18031</v>
      </c>
    </row>
    <row r="61" spans="8:17" x14ac:dyDescent="0.3">
      <c r="H61" s="8">
        <v>0.51</v>
      </c>
      <c r="I61">
        <v>1.53915</v>
      </c>
      <c r="J61">
        <v>2.0102500000000001</v>
      </c>
      <c r="K61">
        <v>1.8352999999999999</v>
      </c>
      <c r="L61">
        <v>2.3039800000000001</v>
      </c>
      <c r="M61" s="8">
        <v>0.51</v>
      </c>
      <c r="N61">
        <v>2.1023800000000001</v>
      </c>
      <c r="O61">
        <v>1.96343</v>
      </c>
      <c r="P61">
        <v>2.0314199999999998</v>
      </c>
      <c r="Q61">
        <v>2.13456</v>
      </c>
    </row>
    <row r="62" spans="8:17" x14ac:dyDescent="0.3">
      <c r="H62" s="8">
        <v>0.52</v>
      </c>
      <c r="I62">
        <v>1.5055499999999999</v>
      </c>
      <c r="J62">
        <v>2.0290599999999999</v>
      </c>
      <c r="K62">
        <v>1.83422</v>
      </c>
      <c r="L62">
        <v>2.2671000000000001</v>
      </c>
      <c r="M62" s="8">
        <v>0.52</v>
      </c>
      <c r="N62">
        <v>2.0163600000000002</v>
      </c>
      <c r="O62">
        <v>1.9643699999999999</v>
      </c>
      <c r="P62">
        <v>2.02752</v>
      </c>
      <c r="Q62">
        <v>2.07274</v>
      </c>
    </row>
    <row r="63" spans="8:17" x14ac:dyDescent="0.3">
      <c r="H63" s="8">
        <v>0.53</v>
      </c>
      <c r="I63">
        <v>1.4697199999999999</v>
      </c>
      <c r="J63">
        <v>2.0384500000000001</v>
      </c>
      <c r="K63">
        <v>1.8272699999999999</v>
      </c>
      <c r="L63">
        <v>2.2118699999999998</v>
      </c>
      <c r="M63" s="8">
        <v>0.53</v>
      </c>
      <c r="N63">
        <v>1.9132899999999999</v>
      </c>
      <c r="O63">
        <v>1.95686</v>
      </c>
      <c r="P63">
        <v>2.01356</v>
      </c>
      <c r="Q63">
        <v>1.9949399999999999</v>
      </c>
    </row>
    <row r="64" spans="8:17" x14ac:dyDescent="0.3">
      <c r="H64" s="8">
        <v>0.54</v>
      </c>
      <c r="I64">
        <v>1.4318599999999999</v>
      </c>
      <c r="J64">
        <v>2.0377100000000001</v>
      </c>
      <c r="K64">
        <v>1.81427</v>
      </c>
      <c r="L64">
        <v>2.1385299999999998</v>
      </c>
      <c r="M64" s="8">
        <v>0.54</v>
      </c>
      <c r="N64">
        <v>1.7950200000000001</v>
      </c>
      <c r="O64">
        <v>1.94055</v>
      </c>
      <c r="P64">
        <v>1.98922</v>
      </c>
      <c r="Q64">
        <v>1.90212</v>
      </c>
    </row>
    <row r="65" spans="8:17" x14ac:dyDescent="0.3">
      <c r="H65" s="8">
        <v>0.55000000000000004</v>
      </c>
      <c r="I65">
        <v>1.39212</v>
      </c>
      <c r="J65">
        <v>2.0265</v>
      </c>
      <c r="K65">
        <v>1.79518</v>
      </c>
      <c r="L65">
        <v>2.0483500000000001</v>
      </c>
      <c r="M65" s="8">
        <v>0.55000000000000004</v>
      </c>
      <c r="N65">
        <v>1.6644699999999999</v>
      </c>
      <c r="O65">
        <v>1.9153899999999999</v>
      </c>
      <c r="P65">
        <v>1.9545300000000001</v>
      </c>
      <c r="Q65">
        <v>1.7961199999999999</v>
      </c>
    </row>
    <row r="66" spans="8:17" x14ac:dyDescent="0.3">
      <c r="H66" s="8">
        <v>0.56000000000000005</v>
      </c>
      <c r="I66">
        <v>1.35063</v>
      </c>
      <c r="J66">
        <v>2.0049700000000001</v>
      </c>
      <c r="K66">
        <v>1.77014</v>
      </c>
      <c r="L66">
        <v>1.9436500000000001</v>
      </c>
      <c r="M66" s="8">
        <v>0.56000000000000005</v>
      </c>
      <c r="N66">
        <v>1.5254000000000001</v>
      </c>
      <c r="O66">
        <v>1.88168</v>
      </c>
      <c r="P66">
        <v>1.91</v>
      </c>
      <c r="Q66">
        <v>1.67961</v>
      </c>
    </row>
    <row r="67" spans="8:17" x14ac:dyDescent="0.3">
      <c r="H67" s="8">
        <v>0.56999999999999995</v>
      </c>
      <c r="I67">
        <v>1.3074600000000001</v>
      </c>
      <c r="J67">
        <v>1.9736899999999999</v>
      </c>
      <c r="K67">
        <v>1.73943</v>
      </c>
      <c r="L67">
        <v>1.8275699999999999</v>
      </c>
      <c r="M67" s="8">
        <v>0.56999999999999995</v>
      </c>
      <c r="N67">
        <v>1.38208</v>
      </c>
      <c r="O67">
        <v>1.8400300000000001</v>
      </c>
      <c r="P67">
        <v>1.8565400000000001</v>
      </c>
      <c r="Q67">
        <v>1.5558399999999999</v>
      </c>
    </row>
    <row r="68" spans="8:17" x14ac:dyDescent="0.3">
      <c r="H68" s="8">
        <v>0.57999999999999996</v>
      </c>
      <c r="I68">
        <v>1.26261</v>
      </c>
      <c r="J68">
        <v>1.9336599999999999</v>
      </c>
      <c r="K68">
        <v>1.70346</v>
      </c>
      <c r="L68">
        <v>1.7037899999999999</v>
      </c>
      <c r="M68" s="8">
        <v>0.57999999999999996</v>
      </c>
      <c r="N68">
        <v>1.23882</v>
      </c>
      <c r="O68">
        <v>1.7913399999999999</v>
      </c>
      <c r="P68">
        <v>1.79542</v>
      </c>
      <c r="Q68">
        <v>1.4283600000000001</v>
      </c>
    </row>
    <row r="69" spans="8:17" x14ac:dyDescent="0.3">
      <c r="H69" s="8">
        <v>0.59</v>
      </c>
      <c r="I69">
        <v>1.21607</v>
      </c>
      <c r="J69">
        <v>1.88618</v>
      </c>
      <c r="K69">
        <v>1.66276</v>
      </c>
      <c r="L69">
        <v>1.57613</v>
      </c>
      <c r="M69" s="8">
        <v>0.59</v>
      </c>
      <c r="N69">
        <v>1.0995900000000001</v>
      </c>
      <c r="O69">
        <v>1.7366999999999999</v>
      </c>
      <c r="P69">
        <v>1.7281200000000001</v>
      </c>
      <c r="Q69">
        <v>1.3006500000000001</v>
      </c>
    </row>
    <row r="70" spans="8:17" x14ac:dyDescent="0.3">
      <c r="H70" s="8">
        <v>0.6</v>
      </c>
      <c r="I70">
        <v>1.16781</v>
      </c>
      <c r="J70">
        <v>1.8327</v>
      </c>
      <c r="K70">
        <v>1.61788</v>
      </c>
      <c r="L70">
        <v>1.44817</v>
      </c>
      <c r="M70" s="8">
        <v>0.6</v>
      </c>
      <c r="N70">
        <v>0.96760599999999997</v>
      </c>
      <c r="O70">
        <v>1.6772800000000001</v>
      </c>
      <c r="P70">
        <v>1.6561999999999999</v>
      </c>
      <c r="Q70">
        <v>1.17578</v>
      </c>
    </row>
    <row r="71" spans="8:17" x14ac:dyDescent="0.3">
      <c r="H71" s="8">
        <v>0.61</v>
      </c>
      <c r="I71">
        <v>1.11782</v>
      </c>
      <c r="J71">
        <v>1.7746999999999999</v>
      </c>
      <c r="K71">
        <v>1.56941</v>
      </c>
      <c r="L71">
        <v>1.32298</v>
      </c>
      <c r="M71" s="8">
        <v>0.61</v>
      </c>
      <c r="N71">
        <v>0.84517699999999996</v>
      </c>
      <c r="O71">
        <v>1.61426</v>
      </c>
      <c r="P71">
        <v>1.5811900000000001</v>
      </c>
      <c r="Q71">
        <v>1.0562499999999999</v>
      </c>
    </row>
    <row r="72" spans="8:17" x14ac:dyDescent="0.3">
      <c r="H72" s="8">
        <v>0.62</v>
      </c>
      <c r="I72">
        <v>1.0661099999999999</v>
      </c>
      <c r="J72">
        <v>1.71353</v>
      </c>
      <c r="K72">
        <v>1.5178700000000001</v>
      </c>
      <c r="L72">
        <v>1.20289</v>
      </c>
      <c r="M72" s="8">
        <v>0.62</v>
      </c>
      <c r="N72">
        <v>0.73367599999999999</v>
      </c>
      <c r="O72">
        <v>1.5486800000000001</v>
      </c>
      <c r="P72">
        <v>1.50444</v>
      </c>
      <c r="Q72">
        <v>0.94383600000000001</v>
      </c>
    </row>
    <row r="73" spans="8:17" x14ac:dyDescent="0.3">
      <c r="H73" s="8">
        <v>0.63</v>
      </c>
      <c r="I73">
        <v>1.0127699999999999</v>
      </c>
      <c r="J73">
        <v>1.6503300000000001</v>
      </c>
      <c r="K73">
        <v>1.46374</v>
      </c>
      <c r="L73">
        <v>1.08952</v>
      </c>
      <c r="M73" s="8">
        <v>0.63</v>
      </c>
      <c r="N73">
        <v>0.63363000000000003</v>
      </c>
      <c r="O73">
        <v>1.48146</v>
      </c>
      <c r="P73">
        <v>1.4270700000000001</v>
      </c>
      <c r="Q73">
        <v>0.83962099999999995</v>
      </c>
    </row>
    <row r="74" spans="8:17" x14ac:dyDescent="0.3">
      <c r="H74" s="8">
        <v>0.64</v>
      </c>
      <c r="I74">
        <v>0.95796999999999999</v>
      </c>
      <c r="J74">
        <v>1.5860000000000001</v>
      </c>
      <c r="K74">
        <v>1.4074500000000001</v>
      </c>
      <c r="L74">
        <v>0.98378500000000002</v>
      </c>
      <c r="M74" s="8">
        <v>0.64</v>
      </c>
      <c r="N74">
        <v>0.54491000000000001</v>
      </c>
      <c r="O74">
        <v>1.41333</v>
      </c>
      <c r="P74">
        <v>1.34996</v>
      </c>
      <c r="Q74">
        <v>0.74409000000000003</v>
      </c>
    </row>
    <row r="75" spans="8:17" x14ac:dyDescent="0.3">
      <c r="H75" s="8">
        <v>0.65</v>
      </c>
      <c r="I75">
        <v>0.90193900000000005</v>
      </c>
      <c r="J75">
        <v>1.5212000000000001</v>
      </c>
      <c r="K75">
        <v>1.34934</v>
      </c>
      <c r="L75">
        <v>0.88603100000000001</v>
      </c>
      <c r="M75" s="8">
        <v>0.65</v>
      </c>
      <c r="N75">
        <v>0.46692600000000001</v>
      </c>
      <c r="O75">
        <v>1.34483</v>
      </c>
      <c r="P75">
        <v>1.27372</v>
      </c>
      <c r="Q75">
        <v>0.65725599999999995</v>
      </c>
    </row>
    <row r="76" spans="8:17" x14ac:dyDescent="0.3">
      <c r="H76" s="8">
        <v>0.66</v>
      </c>
      <c r="I76">
        <v>0.84499800000000003</v>
      </c>
      <c r="J76">
        <v>1.45634</v>
      </c>
      <c r="K76">
        <v>1.2897099999999999</v>
      </c>
      <c r="L76">
        <v>0.796207</v>
      </c>
      <c r="M76" s="8">
        <v>0.66</v>
      </c>
      <c r="N76">
        <v>0.39881899999999998</v>
      </c>
      <c r="O76">
        <v>1.2763500000000001</v>
      </c>
      <c r="P76">
        <v>1.19878</v>
      </c>
      <c r="Q76">
        <v>0.57881099999999996</v>
      </c>
    </row>
    <row r="77" spans="8:17" x14ac:dyDescent="0.3">
      <c r="H77" s="8">
        <v>0.67</v>
      </c>
      <c r="I77">
        <v>0.78752599999999995</v>
      </c>
      <c r="J77">
        <v>1.3916900000000001</v>
      </c>
      <c r="K77">
        <v>1.2288399999999999</v>
      </c>
      <c r="L77">
        <v>0.71398399999999995</v>
      </c>
      <c r="M77" s="8">
        <v>0.67</v>
      </c>
      <c r="N77">
        <v>0.33960600000000002</v>
      </c>
      <c r="O77">
        <v>1.2081900000000001</v>
      </c>
      <c r="P77">
        <v>1.1254</v>
      </c>
      <c r="Q77">
        <v>0.50824499999999995</v>
      </c>
    </row>
    <row r="78" spans="8:17" x14ac:dyDescent="0.3">
      <c r="H78" s="8">
        <v>0.68</v>
      </c>
      <c r="I78">
        <v>0.72995399999999999</v>
      </c>
      <c r="J78">
        <v>1.32734</v>
      </c>
      <c r="K78">
        <v>1.1669700000000001</v>
      </c>
      <c r="L78">
        <v>0.63888199999999995</v>
      </c>
      <c r="M78" s="8">
        <v>0.68</v>
      </c>
      <c r="N78">
        <v>0.28828999999999999</v>
      </c>
      <c r="O78">
        <v>1.14052</v>
      </c>
      <c r="P78">
        <v>1.0537399999999999</v>
      </c>
      <c r="Q78">
        <v>0.44495499999999999</v>
      </c>
    </row>
    <row r="79" spans="8:17" x14ac:dyDescent="0.3">
      <c r="H79" s="8">
        <v>0.69</v>
      </c>
      <c r="I79">
        <v>0.67273899999999998</v>
      </c>
      <c r="J79">
        <v>1.26335</v>
      </c>
      <c r="K79">
        <v>1.1043499999999999</v>
      </c>
      <c r="L79">
        <v>0.57035899999999995</v>
      </c>
      <c r="M79" s="8">
        <v>0.69</v>
      </c>
      <c r="N79">
        <v>0.243919</v>
      </c>
      <c r="O79">
        <v>1.07351</v>
      </c>
      <c r="P79">
        <v>0.98387199999999997</v>
      </c>
      <c r="Q79">
        <v>0.38831199999999999</v>
      </c>
    </row>
    <row r="80" spans="8:17" x14ac:dyDescent="0.3">
      <c r="H80" s="8">
        <v>0.7</v>
      </c>
      <c r="I80">
        <v>0.61634599999999995</v>
      </c>
      <c r="J80">
        <v>1.1997100000000001</v>
      </c>
      <c r="K80">
        <v>1.0412300000000001</v>
      </c>
      <c r="L80">
        <v>0.50787000000000004</v>
      </c>
      <c r="M80" s="8">
        <v>0.7</v>
      </c>
      <c r="N80">
        <v>0.205627</v>
      </c>
      <c r="O80">
        <v>1.00728</v>
      </c>
      <c r="P80">
        <v>0.91586900000000004</v>
      </c>
      <c r="Q80">
        <v>0.33770499999999998</v>
      </c>
    </row>
    <row r="81" spans="8:17" x14ac:dyDescent="0.3">
      <c r="H81" s="8">
        <v>0.71</v>
      </c>
      <c r="I81">
        <v>0.56123400000000001</v>
      </c>
      <c r="J81">
        <v>1.13642</v>
      </c>
      <c r="K81">
        <v>0.97790299999999997</v>
      </c>
      <c r="L81">
        <v>0.45090000000000002</v>
      </c>
      <c r="M81" s="8">
        <v>0.71</v>
      </c>
      <c r="N81">
        <v>0.17264499999999999</v>
      </c>
      <c r="O81">
        <v>0.94196000000000002</v>
      </c>
      <c r="P81">
        <v>0.84977499999999995</v>
      </c>
      <c r="Q81">
        <v>0.29256900000000002</v>
      </c>
    </row>
    <row r="82" spans="8:17" x14ac:dyDescent="0.3">
      <c r="H82" s="8">
        <v>0.72</v>
      </c>
      <c r="I82">
        <v>0.50783599999999995</v>
      </c>
      <c r="J82">
        <v>1.07348</v>
      </c>
      <c r="K82">
        <v>0.91464500000000004</v>
      </c>
      <c r="L82">
        <v>0.39898899999999998</v>
      </c>
      <c r="M82" s="8">
        <v>0.72</v>
      </c>
      <c r="N82">
        <v>0.14429600000000001</v>
      </c>
      <c r="O82">
        <v>0.87769299999999995</v>
      </c>
      <c r="P82">
        <v>0.78565499999999999</v>
      </c>
      <c r="Q82">
        <v>0.25239</v>
      </c>
    </row>
    <row r="83" spans="8:17" x14ac:dyDescent="0.3">
      <c r="H83" s="8">
        <v>0.73</v>
      </c>
      <c r="I83">
        <v>0.45654499999999998</v>
      </c>
      <c r="J83">
        <v>1.0109399999999999</v>
      </c>
      <c r="K83">
        <v>0.85177000000000003</v>
      </c>
      <c r="L83">
        <v>0.35173199999999999</v>
      </c>
      <c r="M83" s="8">
        <v>0.73</v>
      </c>
      <c r="N83">
        <v>0.11999600000000001</v>
      </c>
      <c r="O83">
        <v>0.81464199999999998</v>
      </c>
      <c r="P83">
        <v>0.72358800000000001</v>
      </c>
      <c r="Q83">
        <v>0.21671000000000001</v>
      </c>
    </row>
    <row r="84" spans="8:17" x14ac:dyDescent="0.3">
      <c r="H84" s="8">
        <v>0.74</v>
      </c>
      <c r="I84">
        <v>0.40770499999999998</v>
      </c>
      <c r="J84">
        <v>0.94887699999999997</v>
      </c>
      <c r="K84">
        <v>0.78960200000000003</v>
      </c>
      <c r="L84">
        <v>0.30877599999999999</v>
      </c>
      <c r="M84" s="8">
        <v>0.74</v>
      </c>
      <c r="N84">
        <v>9.92339E-2</v>
      </c>
      <c r="O84">
        <v>0.75299199999999999</v>
      </c>
      <c r="P84">
        <v>0.66367500000000001</v>
      </c>
      <c r="Q84">
        <v>0.18512100000000001</v>
      </c>
    </row>
    <row r="85" spans="8:17" x14ac:dyDescent="0.3">
      <c r="H85" s="8">
        <v>0.75</v>
      </c>
      <c r="I85">
        <v>0.36160599999999998</v>
      </c>
      <c r="J85">
        <v>0.88741899999999996</v>
      </c>
      <c r="K85">
        <v>0.72847399999999995</v>
      </c>
      <c r="L85">
        <v>0.26981699999999997</v>
      </c>
      <c r="M85" s="8">
        <v>0.75</v>
      </c>
      <c r="N85">
        <v>8.1566200000000005E-2</v>
      </c>
      <c r="O85">
        <v>0.69294500000000003</v>
      </c>
      <c r="P85">
        <v>0.60603600000000002</v>
      </c>
      <c r="Q85">
        <v>0.15725700000000001</v>
      </c>
    </row>
    <row r="86" spans="8:17" x14ac:dyDescent="0.3">
      <c r="H86" s="8">
        <v>0.76</v>
      </c>
      <c r="I86">
        <v>0.31847399999999998</v>
      </c>
      <c r="J86">
        <v>0.82672699999999999</v>
      </c>
      <c r="K86">
        <v>0.66872200000000004</v>
      </c>
      <c r="L86">
        <v>0.23458699999999999</v>
      </c>
      <c r="M86" s="8">
        <v>0.76</v>
      </c>
      <c r="N86">
        <v>6.6603099999999998E-2</v>
      </c>
      <c r="O86">
        <v>0.634714</v>
      </c>
      <c r="P86">
        <v>0.55080200000000001</v>
      </c>
      <c r="Q86">
        <v>0.13278400000000001</v>
      </c>
    </row>
    <row r="87" spans="8:17" x14ac:dyDescent="0.3">
      <c r="H87" s="8">
        <v>0.77</v>
      </c>
      <c r="I87">
        <v>0.27847300000000003</v>
      </c>
      <c r="J87">
        <v>0.76699700000000004</v>
      </c>
      <c r="K87">
        <v>0.61067099999999996</v>
      </c>
      <c r="L87">
        <v>0.202848</v>
      </c>
      <c r="M87" s="8">
        <v>0.77</v>
      </c>
      <c r="N87">
        <v>5.4000399999999997E-2</v>
      </c>
      <c r="O87">
        <v>0.57851799999999998</v>
      </c>
      <c r="P87">
        <v>0.49810900000000002</v>
      </c>
      <c r="Q87">
        <v>0.111398</v>
      </c>
    </row>
    <row r="88" spans="8:17" x14ac:dyDescent="0.3">
      <c r="H88" s="8">
        <v>0.78</v>
      </c>
      <c r="I88">
        <v>0.241703</v>
      </c>
      <c r="J88">
        <v>0.708453</v>
      </c>
      <c r="K88">
        <v>0.55463600000000002</v>
      </c>
      <c r="L88">
        <v>0.17437900000000001</v>
      </c>
      <c r="M88" s="8">
        <v>0.78</v>
      </c>
      <c r="N88">
        <v>4.3451999999999998E-2</v>
      </c>
      <c r="O88">
        <v>0.52457399999999998</v>
      </c>
      <c r="P88">
        <v>0.44809100000000002</v>
      </c>
      <c r="Q88">
        <v>9.2817700000000003E-2</v>
      </c>
    </row>
    <row r="89" spans="8:17" x14ac:dyDescent="0.3">
      <c r="H89" s="8">
        <v>0.79</v>
      </c>
      <c r="I89">
        <v>0.208206</v>
      </c>
      <c r="J89">
        <v>0.651335</v>
      </c>
      <c r="K89">
        <v>0.50090400000000002</v>
      </c>
      <c r="L89">
        <v>0.148974</v>
      </c>
      <c r="M89" s="8">
        <v>0.79</v>
      </c>
      <c r="N89">
        <v>3.4684199999999998E-2</v>
      </c>
      <c r="O89">
        <v>0.47308899999999998</v>
      </c>
      <c r="P89">
        <v>0.40087200000000001</v>
      </c>
      <c r="Q89">
        <v>7.6776499999999998E-2</v>
      </c>
    </row>
    <row r="90" spans="8:17" x14ac:dyDescent="0.3">
      <c r="H90" s="8">
        <v>0.8</v>
      </c>
      <c r="I90">
        <v>0.17796300000000001</v>
      </c>
      <c r="J90">
        <v>0.59589300000000001</v>
      </c>
      <c r="K90">
        <v>0.44973400000000002</v>
      </c>
      <c r="L90">
        <v>0.12643299999999999</v>
      </c>
      <c r="M90" s="8">
        <v>0.8</v>
      </c>
      <c r="N90">
        <v>2.7451900000000001E-2</v>
      </c>
      <c r="O90">
        <v>0.42424699999999999</v>
      </c>
      <c r="P90">
        <v>0.35655900000000001</v>
      </c>
      <c r="Q90">
        <v>6.3023700000000002E-2</v>
      </c>
    </row>
    <row r="91" spans="8:17" x14ac:dyDescent="0.3">
      <c r="H91" s="8">
        <v>0.81</v>
      </c>
      <c r="I91">
        <v>0.15090700000000001</v>
      </c>
      <c r="J91">
        <v>0.54237500000000005</v>
      </c>
      <c r="K91">
        <v>0.40134900000000001</v>
      </c>
      <c r="L91">
        <v>0.10656</v>
      </c>
      <c r="M91" s="8">
        <v>0.81</v>
      </c>
      <c r="N91">
        <v>2.1535100000000001E-2</v>
      </c>
      <c r="O91">
        <v>0.37821199999999999</v>
      </c>
      <c r="P91">
        <v>0.31523299999999999</v>
      </c>
      <c r="Q91">
        <v>5.13213E-2</v>
      </c>
    </row>
    <row r="92" spans="8:17" x14ac:dyDescent="0.3">
      <c r="H92" s="8">
        <v>0.82</v>
      </c>
      <c r="I92">
        <v>0.12692400000000001</v>
      </c>
      <c r="J92">
        <v>0.49102000000000001</v>
      </c>
      <c r="K92">
        <v>0.35593000000000002</v>
      </c>
      <c r="L92">
        <v>8.9157700000000006E-2</v>
      </c>
      <c r="M92" s="8">
        <v>0.82</v>
      </c>
      <c r="N92">
        <v>1.6736999999999998E-2</v>
      </c>
      <c r="O92">
        <v>0.33511400000000002</v>
      </c>
      <c r="P92">
        <v>0.27694999999999997</v>
      </c>
      <c r="Q92">
        <v>4.1443300000000002E-2</v>
      </c>
    </row>
    <row r="93" spans="8:17" x14ac:dyDescent="0.3">
      <c r="H93" s="8">
        <v>0.83</v>
      </c>
      <c r="I93">
        <v>0.105863</v>
      </c>
      <c r="J93">
        <v>0.44204700000000002</v>
      </c>
      <c r="K93">
        <v>0.31361299999999998</v>
      </c>
      <c r="L93">
        <v>7.4031799999999995E-2</v>
      </c>
      <c r="M93" s="8">
        <v>0.83</v>
      </c>
      <c r="N93">
        <v>1.2882299999999999E-2</v>
      </c>
      <c r="O93">
        <v>0.295047</v>
      </c>
      <c r="P93">
        <v>0.241732</v>
      </c>
      <c r="Q93">
        <v>3.31761E-2</v>
      </c>
    </row>
    <row r="94" spans="8:17" x14ac:dyDescent="0.3">
      <c r="H94" s="8">
        <v>0.84</v>
      </c>
      <c r="I94">
        <v>8.7542800000000004E-2</v>
      </c>
      <c r="J94">
        <v>0.395652</v>
      </c>
      <c r="K94">
        <v>0.27448600000000001</v>
      </c>
      <c r="L94">
        <v>6.0986699999999998E-2</v>
      </c>
      <c r="M94" s="8">
        <v>0.84</v>
      </c>
      <c r="N94">
        <v>9.8158900000000007E-3</v>
      </c>
      <c r="O94">
        <v>0.25806800000000002</v>
      </c>
      <c r="P94">
        <v>0.20956900000000001</v>
      </c>
      <c r="Q94">
        <v>2.6318600000000001E-2</v>
      </c>
    </row>
    <row r="95" spans="8:17" x14ac:dyDescent="0.3">
      <c r="H95" s="8">
        <v>0.85</v>
      </c>
      <c r="I95">
        <v>7.1759500000000004E-2</v>
      </c>
      <c r="J95">
        <v>0.351997</v>
      </c>
      <c r="K95">
        <v>0.238591</v>
      </c>
      <c r="L95">
        <v>4.9828400000000002E-2</v>
      </c>
      <c r="M95" s="8">
        <v>0.85</v>
      </c>
      <c r="N95">
        <v>7.4016100000000003E-3</v>
      </c>
      <c r="O95">
        <v>0.22419600000000001</v>
      </c>
      <c r="P95">
        <v>0.180418</v>
      </c>
      <c r="Q95">
        <v>2.06836E-2</v>
      </c>
    </row>
    <row r="96" spans="8:17" x14ac:dyDescent="0.3">
      <c r="H96" s="8">
        <v>0.86</v>
      </c>
      <c r="I96">
        <v>5.82943E-2</v>
      </c>
      <c r="J96">
        <v>0.31121100000000002</v>
      </c>
      <c r="K96">
        <v>0.205925</v>
      </c>
      <c r="L96">
        <v>4.0365900000000003E-2</v>
      </c>
      <c r="M96" s="8">
        <v>0.86</v>
      </c>
      <c r="N96">
        <v>5.5211000000000001E-3</v>
      </c>
      <c r="O96">
        <v>0.193409</v>
      </c>
      <c r="P96">
        <v>0.15420300000000001</v>
      </c>
      <c r="Q96">
        <v>1.6098299999999999E-2</v>
      </c>
    </row>
    <row r="97" spans="8:17" x14ac:dyDescent="0.3">
      <c r="H97" s="8">
        <v>0.87</v>
      </c>
      <c r="I97">
        <v>4.6920700000000003E-2</v>
      </c>
      <c r="J97">
        <v>0.27338200000000001</v>
      </c>
      <c r="K97">
        <v>0.17643900000000001</v>
      </c>
      <c r="L97">
        <v>3.2413200000000003E-2</v>
      </c>
      <c r="M97" s="8">
        <v>0.87</v>
      </c>
      <c r="N97">
        <v>4.0726399999999998E-3</v>
      </c>
      <c r="O97">
        <v>0.16564899999999999</v>
      </c>
      <c r="P97">
        <v>0.13081799999999999</v>
      </c>
      <c r="Q97">
        <v>1.24046E-2</v>
      </c>
    </row>
    <row r="98" spans="8:17" x14ac:dyDescent="0.3">
      <c r="H98" s="8">
        <v>0.88</v>
      </c>
      <c r="I98">
        <v>3.7410800000000001E-2</v>
      </c>
      <c r="J98">
        <v>0.23855699999999999</v>
      </c>
      <c r="K98">
        <v>0.15004600000000001</v>
      </c>
      <c r="L98">
        <v>2.5791399999999999E-2</v>
      </c>
      <c r="M98" s="8">
        <v>0.88</v>
      </c>
      <c r="N98">
        <v>2.9697999999999999E-3</v>
      </c>
      <c r="O98">
        <v>0.14082</v>
      </c>
      <c r="P98">
        <v>0.110129</v>
      </c>
      <c r="Q98">
        <v>9.4602699999999998E-3</v>
      </c>
    </row>
    <row r="99" spans="8:17" x14ac:dyDescent="0.3">
      <c r="H99" s="8">
        <v>0.89</v>
      </c>
      <c r="I99">
        <v>2.9540899999999998E-2</v>
      </c>
      <c r="J99">
        <v>0.20674600000000001</v>
      </c>
      <c r="K99">
        <v>0.12662000000000001</v>
      </c>
      <c r="L99">
        <v>2.03307E-2</v>
      </c>
      <c r="M99" s="8">
        <v>0.89</v>
      </c>
      <c r="N99">
        <v>2.1400899999999999E-3</v>
      </c>
      <c r="O99">
        <v>0.1188</v>
      </c>
      <c r="P99">
        <v>9.19822E-2</v>
      </c>
      <c r="Q99">
        <v>7.1385700000000003E-3</v>
      </c>
    </row>
    <row r="100" spans="8:17" x14ac:dyDescent="0.3">
      <c r="H100" s="8">
        <v>0.9</v>
      </c>
      <c r="I100">
        <v>2.30963E-2</v>
      </c>
      <c r="J100">
        <v>0.17791499999999999</v>
      </c>
      <c r="K100">
        <v>0.10600900000000001</v>
      </c>
      <c r="L100">
        <v>1.58721E-2</v>
      </c>
      <c r="M100" s="8">
        <v>0.9</v>
      </c>
      <c r="N100">
        <v>1.5234999999999999E-3</v>
      </c>
      <c r="O100">
        <v>9.9437499999999998E-2</v>
      </c>
      <c r="P100">
        <v>7.6202800000000001E-2</v>
      </c>
      <c r="Q100">
        <v>5.3281099999999996E-3</v>
      </c>
    </row>
    <row r="101" spans="8:17" x14ac:dyDescent="0.3">
      <c r="H101" s="8">
        <v>0.91</v>
      </c>
      <c r="I101">
        <v>1.7875200000000001E-2</v>
      </c>
      <c r="J101">
        <v>0.15199499999999999</v>
      </c>
      <c r="K101">
        <v>8.8035000000000002E-2</v>
      </c>
      <c r="L101">
        <v>1.22688E-2</v>
      </c>
      <c r="M101" s="8">
        <v>0.91</v>
      </c>
      <c r="N101">
        <v>1.07106E-3</v>
      </c>
      <c r="O101">
        <v>8.2559999999999995E-2</v>
      </c>
      <c r="P101">
        <v>6.2604900000000005E-2</v>
      </c>
      <c r="Q101">
        <v>3.9324299999999998E-3</v>
      </c>
    </row>
    <row r="102" spans="8:17" x14ac:dyDescent="0.3">
      <c r="H102" s="8">
        <v>0.92</v>
      </c>
      <c r="I102">
        <v>1.36913E-2</v>
      </c>
      <c r="J102">
        <v>0.128885</v>
      </c>
      <c r="K102">
        <v>7.2501499999999997E-2</v>
      </c>
      <c r="L102">
        <v>9.3871500000000004E-3</v>
      </c>
      <c r="M102" s="8">
        <v>0.92</v>
      </c>
      <c r="N102">
        <v>7.4337000000000003E-4</v>
      </c>
      <c r="O102">
        <v>6.7980200000000005E-2</v>
      </c>
      <c r="P102">
        <v>5.0993799999999999E-2</v>
      </c>
      <c r="Q102">
        <v>2.8690899999999999E-3</v>
      </c>
    </row>
    <row r="103" spans="8:17" x14ac:dyDescent="0.3">
      <c r="H103" s="8">
        <v>0.93</v>
      </c>
      <c r="I103">
        <v>1.03757E-2</v>
      </c>
      <c r="J103">
        <v>0.10845200000000001</v>
      </c>
      <c r="K103">
        <v>5.9200599999999999E-2</v>
      </c>
      <c r="L103">
        <v>7.1074700000000003E-3</v>
      </c>
      <c r="M103" s="8">
        <v>0.93</v>
      </c>
      <c r="N103">
        <v>5.0917900000000001E-4</v>
      </c>
      <c r="O103">
        <v>5.55002E-2</v>
      </c>
      <c r="P103">
        <v>4.1171899999999997E-2</v>
      </c>
      <c r="Q103">
        <v>2.0686900000000002E-3</v>
      </c>
    </row>
    <row r="104" spans="8:17" x14ac:dyDescent="0.3">
      <c r="H104" s="8">
        <v>0.94</v>
      </c>
      <c r="I104">
        <v>7.7779399999999997E-3</v>
      </c>
      <c r="J104">
        <v>9.0543100000000001E-2</v>
      </c>
      <c r="K104">
        <v>4.7918099999999998E-2</v>
      </c>
      <c r="L104">
        <v>5.3238699999999996E-3</v>
      </c>
      <c r="M104" s="8">
        <v>0.94</v>
      </c>
      <c r="N104">
        <v>3.4408699999999997E-4</v>
      </c>
      <c r="O104">
        <v>4.4917100000000001E-2</v>
      </c>
      <c r="P104">
        <v>3.2942800000000001E-2</v>
      </c>
      <c r="Q104">
        <v>1.4736199999999999E-3</v>
      </c>
    </row>
    <row r="105" spans="8:17" x14ac:dyDescent="0.3">
      <c r="H105" s="8">
        <v>0.95</v>
      </c>
      <c r="I105">
        <v>5.7659900000000004E-3</v>
      </c>
      <c r="J105">
        <v>7.4982599999999996E-2</v>
      </c>
      <c r="K105">
        <v>3.84392E-2</v>
      </c>
      <c r="L105">
        <v>3.9441500000000004E-3</v>
      </c>
      <c r="M105" s="8">
        <v>0.95</v>
      </c>
      <c r="N105">
        <v>2.2932700000000001E-4</v>
      </c>
      <c r="O105">
        <v>3.6027900000000002E-2</v>
      </c>
      <c r="P105">
        <v>2.61155E-2</v>
      </c>
      <c r="Q105">
        <v>1.03677E-3</v>
      </c>
    </row>
    <row r="106" spans="8:17" x14ac:dyDescent="0.3">
      <c r="H106" s="8">
        <v>0.96</v>
      </c>
      <c r="I106">
        <v>4.2260700000000002E-3</v>
      </c>
      <c r="J106">
        <v>6.1583600000000002E-2</v>
      </c>
      <c r="K106">
        <v>3.0553199999999999E-2</v>
      </c>
      <c r="L106">
        <v>2.8891899999999998E-3</v>
      </c>
      <c r="M106" s="8">
        <v>0.96</v>
      </c>
      <c r="N106">
        <v>1.5069200000000001E-4</v>
      </c>
      <c r="O106">
        <v>2.8633800000000001E-2</v>
      </c>
      <c r="P106">
        <v>2.0507600000000001E-2</v>
      </c>
      <c r="Q106">
        <v>7.2021599999999998E-4</v>
      </c>
    </row>
    <row r="107" spans="8:17" x14ac:dyDescent="0.3">
      <c r="H107" s="8">
        <v>0.97</v>
      </c>
      <c r="I107">
        <v>3.0615400000000002E-3</v>
      </c>
      <c r="J107">
        <v>5.0151000000000001E-2</v>
      </c>
      <c r="K107">
        <v>2.4057499999999999E-2</v>
      </c>
      <c r="L107">
        <v>2.0920700000000001E-3</v>
      </c>
      <c r="M107" s="8">
        <v>0.97</v>
      </c>
      <c r="N107" s="22">
        <v>9.7594899999999996E-5</v>
      </c>
      <c r="O107">
        <v>2.2544399999999999E-2</v>
      </c>
      <c r="P107">
        <v>1.5948199999999999E-2</v>
      </c>
      <c r="Q107">
        <v>4.9384699999999995E-4</v>
      </c>
    </row>
    <row r="108" spans="8:17" x14ac:dyDescent="0.3">
      <c r="H108" s="8">
        <v>0.98</v>
      </c>
      <c r="I108">
        <v>2.1916599999999998E-3</v>
      </c>
      <c r="J108">
        <v>4.0486899999999999E-2</v>
      </c>
      <c r="K108">
        <v>1.8761099999999999E-2</v>
      </c>
      <c r="L108">
        <v>1.49705E-3</v>
      </c>
      <c r="M108" s="8">
        <v>0.98</v>
      </c>
      <c r="N108" s="22">
        <v>6.2276399999999999E-5</v>
      </c>
      <c r="O108">
        <v>1.7579899999999999E-2</v>
      </c>
      <c r="P108">
        <v>1.2279699999999999E-2</v>
      </c>
      <c r="Q108">
        <v>3.3415099999999998E-4</v>
      </c>
    </row>
    <row r="109" spans="8:17" x14ac:dyDescent="0.3">
      <c r="H109" s="8">
        <v>0.99</v>
      </c>
      <c r="I109">
        <v>1.5499699999999999E-3</v>
      </c>
      <c r="J109">
        <v>3.2395100000000003E-2</v>
      </c>
      <c r="K109">
        <v>1.44873E-2</v>
      </c>
      <c r="L109">
        <v>1.0583700000000001E-3</v>
      </c>
      <c r="M109" s="8">
        <v>0.99</v>
      </c>
      <c r="N109" s="22">
        <v>3.9141299999999997E-5</v>
      </c>
      <c r="O109">
        <v>1.35744E-2</v>
      </c>
      <c r="P109">
        <v>9.3592699999999994E-3</v>
      </c>
      <c r="Q109">
        <v>2.2304099999999999E-4</v>
      </c>
    </row>
    <row r="110" spans="8:17" x14ac:dyDescent="0.3">
      <c r="H110" s="8">
        <v>1</v>
      </c>
      <c r="I110">
        <v>1.0826099999999999E-3</v>
      </c>
      <c r="J110">
        <v>2.5685099999999999E-2</v>
      </c>
      <c r="K110">
        <v>1.1074799999999999E-2</v>
      </c>
      <c r="L110">
        <v>7.3902600000000005E-4</v>
      </c>
      <c r="M110" s="8">
        <v>1</v>
      </c>
      <c r="N110" s="22">
        <v>2.42224E-5</v>
      </c>
      <c r="O110">
        <v>1.0376399999999999E-2</v>
      </c>
      <c r="P110">
        <v>7.0594899999999999E-3</v>
      </c>
      <c r="Q110">
        <v>1.4681899999999999E-4</v>
      </c>
    </row>
    <row r="112" spans="8:17" x14ac:dyDescent="0.3">
      <c r="I112" s="1">
        <f>MAX(I11:I110)</f>
        <v>1.71719</v>
      </c>
      <c r="J112" s="1">
        <f t="shared" ref="J112:L112" si="10">MAX(J11:J110)</f>
        <v>2.0384500000000001</v>
      </c>
      <c r="K112" s="1">
        <f t="shared" si="10"/>
        <v>1.8352999999999999</v>
      </c>
      <c r="L112" s="1">
        <f t="shared" si="10"/>
        <v>2.32612</v>
      </c>
    </row>
    <row r="113" spans="9:12" x14ac:dyDescent="0.3">
      <c r="I113" s="17">
        <f>VLOOKUP(I112,I11:$M$110,5,FALSE)</f>
        <v>0.4</v>
      </c>
      <c r="J113" s="17">
        <f>VLOOKUP(J112,J11:$M$110,4,FALSE)</f>
        <v>0.53</v>
      </c>
      <c r="K113" s="17">
        <f>VLOOKUP(K112,K11:$M$110,3,FALSE)</f>
        <v>0.51</v>
      </c>
      <c r="L113" s="17">
        <f>VLOOKUP(L112,L11:$M$110,2,FALSE)</f>
        <v>0.49</v>
      </c>
    </row>
  </sheetData>
  <mergeCells count="3">
    <mergeCell ref="H1:K1"/>
    <mergeCell ref="M1:P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Graphs</vt:lpstr>
      <vt:lpstr>Base runs</vt:lpstr>
      <vt:lpstr>EU_j</vt:lpstr>
      <vt:lpstr>P_i</vt:lpstr>
      <vt:lpstr>Specific Runs</vt:lpstr>
      <vt:lpstr>Scenario 2 Increased Risk Ap</vt:lpstr>
      <vt:lpstr>Decreased Pi 025</vt:lpstr>
      <vt:lpstr>Increased Pi 075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 Djondjourov</dc:creator>
  <cp:lastModifiedBy>Atanas Djondjourov</cp:lastModifiedBy>
  <dcterms:created xsi:type="dcterms:W3CDTF">2025-09-12T08:59:46Z</dcterms:created>
  <dcterms:modified xsi:type="dcterms:W3CDTF">2026-05-21T08:20:38Z</dcterms:modified>
</cp:coreProperties>
</file>