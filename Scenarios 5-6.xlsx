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atanas_djondjourov_vub_be/Documents/Bureau/3. Research/3. Mil Budget/5. Analysis/20261205/"/>
    </mc:Choice>
  </mc:AlternateContent>
  <xr:revisionPtr revIDLastSave="542" documentId="13_ncr:1_{EE235978-E317-4B24-BEC9-8B92D3959FBA}" xr6:coauthVersionLast="47" xr6:coauthVersionMax="47" xr10:uidLastSave="{BACB0CB7-DFA4-469F-9762-8EF257B0A6C8}"/>
  <bookViews>
    <workbookView xWindow="-38520" yWindow="-15150" windowWidth="38640" windowHeight="21120" activeTab="6" xr2:uid="{BD381C04-E667-4D30-A1E1-D71C22D15092}"/>
  </bookViews>
  <sheets>
    <sheet name="Graphs" sheetId="34" r:id="rId1"/>
    <sheet name="Scenario 5 - St1 0.4" sheetId="29" r:id="rId2"/>
    <sheet name="Scenario 5 - St1 0.5" sheetId="24" r:id="rId3"/>
    <sheet name="Scenario 5 - St1 0.5 P_j 0.25" sheetId="32" r:id="rId4"/>
    <sheet name="Scenario 6 - St1 0.4" sheetId="30" r:id="rId5"/>
    <sheet name="Scenario 6 - St1 0.5" sheetId="31" r:id="rId6"/>
    <sheet name="Scenario 6 - St1 0.5 - P_j 0.25" sheetId="3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4" l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5" i="34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E10" i="31"/>
  <c r="G10" i="33"/>
  <c r="E109" i="33"/>
  <c r="E91" i="33"/>
  <c r="E82" i="33"/>
  <c r="E73" i="33"/>
  <c r="E64" i="33"/>
  <c r="E55" i="33"/>
  <c r="E51" i="33"/>
  <c r="E36" i="33"/>
  <c r="E33" i="33"/>
  <c r="E32" i="33"/>
  <c r="E30" i="33"/>
  <c r="E29" i="33"/>
  <c r="E27" i="33"/>
  <c r="E26" i="33"/>
  <c r="E18" i="33"/>
  <c r="E17" i="33"/>
  <c r="B17" i="33"/>
  <c r="C17" i="33" s="1"/>
  <c r="B16" i="33"/>
  <c r="C16" i="33" s="1"/>
  <c r="G15" i="33"/>
  <c r="I15" i="33" s="1"/>
  <c r="F15" i="33"/>
  <c r="H15" i="33" s="1"/>
  <c r="E15" i="33"/>
  <c r="C15" i="33"/>
  <c r="G14" i="33"/>
  <c r="I14" i="33" s="1"/>
  <c r="F14" i="33"/>
  <c r="H14" i="33" s="1"/>
  <c r="E14" i="33"/>
  <c r="C14" i="33"/>
  <c r="E10" i="33"/>
  <c r="E100" i="33" s="1"/>
  <c r="D10" i="33"/>
  <c r="C10" i="33"/>
  <c r="E39" i="33" s="1"/>
  <c r="B10" i="33"/>
  <c r="G10" i="32"/>
  <c r="B16" i="32"/>
  <c r="G16" i="32" s="1"/>
  <c r="I16" i="32" s="1"/>
  <c r="G15" i="32"/>
  <c r="I15" i="32" s="1"/>
  <c r="F15" i="32"/>
  <c r="H15" i="32" s="1"/>
  <c r="C15" i="32"/>
  <c r="G14" i="32"/>
  <c r="I14" i="32" s="1"/>
  <c r="F14" i="32"/>
  <c r="H14" i="32" s="1"/>
  <c r="C14" i="32"/>
  <c r="E10" i="32"/>
  <c r="D10" i="32"/>
  <c r="C10" i="32"/>
  <c r="B10" i="32"/>
  <c r="I16" i="31"/>
  <c r="F16" i="31"/>
  <c r="H16" i="31" s="1"/>
  <c r="J16" i="31" s="1"/>
  <c r="B16" i="31"/>
  <c r="G16" i="31" s="1"/>
  <c r="G15" i="31"/>
  <c r="I15" i="31" s="1"/>
  <c r="F15" i="31"/>
  <c r="H15" i="31" s="1"/>
  <c r="C15" i="31"/>
  <c r="G14" i="31"/>
  <c r="I14" i="31" s="1"/>
  <c r="F14" i="31"/>
  <c r="H14" i="31" s="1"/>
  <c r="C14" i="31"/>
  <c r="G10" i="31"/>
  <c r="D10" i="31"/>
  <c r="C10" i="31"/>
  <c r="B10" i="31"/>
  <c r="B16" i="30"/>
  <c r="C16" i="30" s="1"/>
  <c r="G15" i="30"/>
  <c r="I15" i="30" s="1"/>
  <c r="F15" i="30"/>
  <c r="H15" i="30" s="1"/>
  <c r="J15" i="30" s="1"/>
  <c r="C15" i="30"/>
  <c r="G14" i="30"/>
  <c r="I14" i="30" s="1"/>
  <c r="J14" i="30" s="1"/>
  <c r="F14" i="30"/>
  <c r="H14" i="30" s="1"/>
  <c r="C14" i="30"/>
  <c r="G10" i="30"/>
  <c r="E10" i="30"/>
  <c r="D10" i="30"/>
  <c r="C10" i="30"/>
  <c r="B10" i="30"/>
  <c r="B16" i="29"/>
  <c r="G15" i="29"/>
  <c r="I15" i="29" s="1"/>
  <c r="F15" i="29"/>
  <c r="H15" i="29" s="1"/>
  <c r="C15" i="29"/>
  <c r="G14" i="29"/>
  <c r="I14" i="29" s="1"/>
  <c r="F14" i="29"/>
  <c r="H14" i="29" s="1"/>
  <c r="J14" i="29" s="1"/>
  <c r="C14" i="29"/>
  <c r="G10" i="29"/>
  <c r="E10" i="29"/>
  <c r="D10" i="29"/>
  <c r="C10" i="29"/>
  <c r="B10" i="29"/>
  <c r="G15" i="24"/>
  <c r="I15" i="24" s="1"/>
  <c r="G16" i="24"/>
  <c r="G17" i="24"/>
  <c r="G14" i="24"/>
  <c r="I14" i="24" s="1"/>
  <c r="I16" i="24"/>
  <c r="F16" i="24"/>
  <c r="H16" i="24" s="1"/>
  <c r="C16" i="24"/>
  <c r="B16" i="24"/>
  <c r="B17" i="24" s="1"/>
  <c r="F15" i="24"/>
  <c r="H15" i="24" s="1"/>
  <c r="C15" i="24"/>
  <c r="F14" i="24"/>
  <c r="H14" i="24" s="1"/>
  <c r="C14" i="24"/>
  <c r="G10" i="24"/>
  <c r="K15" i="24" s="1"/>
  <c r="E10" i="24"/>
  <c r="D10" i="24"/>
  <c r="C10" i="24"/>
  <c r="B10" i="24"/>
  <c r="F17" i="33" l="1"/>
  <c r="H17" i="33" s="1"/>
  <c r="J17" i="33" s="1"/>
  <c r="G17" i="33"/>
  <c r="I17" i="33" s="1"/>
  <c r="J15" i="33"/>
  <c r="B18" i="33"/>
  <c r="G18" i="33" s="1"/>
  <c r="I18" i="33" s="1"/>
  <c r="L18" i="33" s="1"/>
  <c r="E35" i="33"/>
  <c r="D109" i="33"/>
  <c r="E21" i="33"/>
  <c r="E42" i="33"/>
  <c r="E106" i="33"/>
  <c r="F16" i="33"/>
  <c r="H16" i="33" s="1"/>
  <c r="E23" i="33"/>
  <c r="E45" i="33"/>
  <c r="E20" i="33"/>
  <c r="G16" i="33"/>
  <c r="I16" i="33" s="1"/>
  <c r="E24" i="33"/>
  <c r="E48" i="33"/>
  <c r="L15" i="31"/>
  <c r="J15" i="31"/>
  <c r="E102" i="31"/>
  <c r="C16" i="31"/>
  <c r="E62" i="30"/>
  <c r="D26" i="30"/>
  <c r="L14" i="30"/>
  <c r="J14" i="32"/>
  <c r="L14" i="32"/>
  <c r="E38" i="32"/>
  <c r="J14" i="24"/>
  <c r="E68" i="29"/>
  <c r="J15" i="29"/>
  <c r="E85" i="30"/>
  <c r="E68" i="30"/>
  <c r="L15" i="30"/>
  <c r="D14" i="33"/>
  <c r="M14" i="33" s="1"/>
  <c r="J14" i="33"/>
  <c r="K16" i="33"/>
  <c r="J16" i="33"/>
  <c r="K15" i="33"/>
  <c r="L15" i="33"/>
  <c r="D17" i="33"/>
  <c r="M17" i="33" s="1"/>
  <c r="D20" i="33"/>
  <c r="D23" i="33"/>
  <c r="D26" i="33"/>
  <c r="D29" i="33"/>
  <c r="D32" i="33"/>
  <c r="D35" i="33"/>
  <c r="D38" i="33"/>
  <c r="D41" i="33"/>
  <c r="D44" i="33"/>
  <c r="D47" i="33"/>
  <c r="D50" i="33"/>
  <c r="D52" i="33"/>
  <c r="D61" i="33"/>
  <c r="D70" i="33"/>
  <c r="D79" i="33"/>
  <c r="D88" i="33"/>
  <c r="D97" i="33"/>
  <c r="D106" i="33"/>
  <c r="E38" i="33"/>
  <c r="E41" i="33"/>
  <c r="E44" i="33"/>
  <c r="E47" i="33"/>
  <c r="E50" i="33"/>
  <c r="E52" i="33"/>
  <c r="E61" i="33"/>
  <c r="E70" i="33"/>
  <c r="E79" i="33"/>
  <c r="E88" i="33"/>
  <c r="E97" i="33"/>
  <c r="C18" i="33"/>
  <c r="D15" i="33"/>
  <c r="M15" i="33" s="1"/>
  <c r="L16" i="33"/>
  <c r="D18" i="33"/>
  <c r="D21" i="33"/>
  <c r="D24" i="33"/>
  <c r="D27" i="33"/>
  <c r="D30" i="33"/>
  <c r="D33" i="33"/>
  <c r="D36" i="33"/>
  <c r="D39" i="33"/>
  <c r="D42" i="33"/>
  <c r="D45" i="33"/>
  <c r="D48" i="33"/>
  <c r="D51" i="33"/>
  <c r="D55" i="33"/>
  <c r="D64" i="33"/>
  <c r="D73" i="33"/>
  <c r="D82" i="33"/>
  <c r="D91" i="33"/>
  <c r="D100" i="33"/>
  <c r="F18" i="33"/>
  <c r="H18" i="33" s="1"/>
  <c r="B19" i="33"/>
  <c r="K17" i="33"/>
  <c r="D114" i="33"/>
  <c r="D111" i="33"/>
  <c r="D108" i="33"/>
  <c r="D105" i="33"/>
  <c r="D102" i="33"/>
  <c r="D99" i="33"/>
  <c r="D96" i="33"/>
  <c r="D93" i="33"/>
  <c r="D90" i="33"/>
  <c r="D87" i="33"/>
  <c r="D84" i="33"/>
  <c r="D81" i="33"/>
  <c r="D78" i="33"/>
  <c r="D75" i="33"/>
  <c r="D72" i="33"/>
  <c r="D69" i="33"/>
  <c r="D66" i="33"/>
  <c r="D63" i="33"/>
  <c r="D60" i="33"/>
  <c r="D57" i="33"/>
  <c r="D54" i="33"/>
  <c r="D113" i="33"/>
  <c r="D110" i="33"/>
  <c r="D107" i="33"/>
  <c r="D104" i="33"/>
  <c r="D101" i="33"/>
  <c r="D98" i="33"/>
  <c r="D95" i="33"/>
  <c r="D92" i="33"/>
  <c r="D89" i="33"/>
  <c r="D86" i="33"/>
  <c r="D83" i="33"/>
  <c r="D80" i="33"/>
  <c r="D77" i="33"/>
  <c r="D74" i="33"/>
  <c r="D71" i="33"/>
  <c r="D68" i="33"/>
  <c r="D65" i="33"/>
  <c r="D62" i="33"/>
  <c r="D59" i="33"/>
  <c r="D56" i="33"/>
  <c r="D53" i="33"/>
  <c r="K14" i="33"/>
  <c r="D16" i="33"/>
  <c r="L17" i="33"/>
  <c r="D19" i="33"/>
  <c r="D22" i="33"/>
  <c r="D25" i="33"/>
  <c r="D28" i="33"/>
  <c r="D31" i="33"/>
  <c r="D34" i="33"/>
  <c r="D37" i="33"/>
  <c r="D40" i="33"/>
  <c r="D43" i="33"/>
  <c r="D46" i="33"/>
  <c r="D49" i="33"/>
  <c r="D58" i="33"/>
  <c r="D67" i="33"/>
  <c r="D76" i="33"/>
  <c r="D85" i="33"/>
  <c r="D94" i="33"/>
  <c r="D103" i="33"/>
  <c r="D112" i="33"/>
  <c r="E114" i="33"/>
  <c r="E111" i="33"/>
  <c r="E108" i="33"/>
  <c r="E105" i="33"/>
  <c r="E102" i="33"/>
  <c r="E99" i="33"/>
  <c r="E96" i="33"/>
  <c r="E93" i="33"/>
  <c r="E90" i="33"/>
  <c r="E87" i="33"/>
  <c r="E84" i="33"/>
  <c r="E81" i="33"/>
  <c r="E78" i="33"/>
  <c r="E75" i="33"/>
  <c r="E72" i="33"/>
  <c r="E69" i="33"/>
  <c r="E66" i="33"/>
  <c r="E63" i="33"/>
  <c r="E60" i="33"/>
  <c r="E57" i="33"/>
  <c r="E54" i="33"/>
  <c r="E113" i="33"/>
  <c r="E110" i="33"/>
  <c r="E107" i="33"/>
  <c r="E104" i="33"/>
  <c r="E101" i="33"/>
  <c r="E98" i="33"/>
  <c r="E95" i="33"/>
  <c r="E92" i="33"/>
  <c r="E89" i="33"/>
  <c r="E86" i="33"/>
  <c r="E83" i="33"/>
  <c r="E80" i="33"/>
  <c r="E77" i="33"/>
  <c r="E74" i="33"/>
  <c r="E71" i="33"/>
  <c r="E68" i="33"/>
  <c r="E65" i="33"/>
  <c r="E62" i="33"/>
  <c r="E59" i="33"/>
  <c r="E56" i="33"/>
  <c r="E53" i="33"/>
  <c r="L14" i="33"/>
  <c r="E16" i="33"/>
  <c r="E19" i="33"/>
  <c r="E22" i="33"/>
  <c r="E25" i="33"/>
  <c r="E28" i="33"/>
  <c r="E31" i="33"/>
  <c r="E34" i="33"/>
  <c r="E37" i="33"/>
  <c r="E40" i="33"/>
  <c r="E43" i="33"/>
  <c r="E46" i="33"/>
  <c r="E49" i="33"/>
  <c r="E58" i="33"/>
  <c r="E67" i="33"/>
  <c r="E76" i="33"/>
  <c r="E85" i="33"/>
  <c r="E94" i="33"/>
  <c r="E103" i="33"/>
  <c r="E112" i="33"/>
  <c r="E34" i="32"/>
  <c r="E18" i="32"/>
  <c r="L15" i="32"/>
  <c r="K14" i="32"/>
  <c r="L16" i="32"/>
  <c r="D36" i="32"/>
  <c r="J15" i="32"/>
  <c r="K15" i="32"/>
  <c r="D114" i="32"/>
  <c r="D111" i="32"/>
  <c r="D108" i="32"/>
  <c r="D105" i="32"/>
  <c r="D102" i="32"/>
  <c r="D99" i="32"/>
  <c r="D96" i="32"/>
  <c r="D93" i="32"/>
  <c r="D90" i="32"/>
  <c r="D87" i="32"/>
  <c r="D84" i="32"/>
  <c r="D81" i="32"/>
  <c r="D78" i="32"/>
  <c r="D75" i="32"/>
  <c r="D72" i="32"/>
  <c r="D69" i="32"/>
  <c r="D66" i="32"/>
  <c r="D63" i="32"/>
  <c r="D60" i="32"/>
  <c r="D57" i="32"/>
  <c r="D54" i="32"/>
  <c r="D113" i="32"/>
  <c r="D112" i="32"/>
  <c r="D110" i="32"/>
  <c r="D109" i="32"/>
  <c r="D107" i="32"/>
  <c r="D106" i="32"/>
  <c r="D104" i="32"/>
  <c r="D103" i="32"/>
  <c r="D101" i="32"/>
  <c r="D100" i="32"/>
  <c r="D98" i="32"/>
  <c r="D97" i="32"/>
  <c r="D95" i="32"/>
  <c r="D94" i="32"/>
  <c r="D92" i="32"/>
  <c r="D91" i="32"/>
  <c r="D89" i="32"/>
  <c r="D88" i="32"/>
  <c r="D86" i="32"/>
  <c r="D85" i="32"/>
  <c r="D14" i="32"/>
  <c r="D43" i="32"/>
  <c r="D52" i="32"/>
  <c r="D51" i="32"/>
  <c r="D42" i="32"/>
  <c r="D53" i="32"/>
  <c r="D46" i="32"/>
  <c r="D37" i="32"/>
  <c r="D49" i="32"/>
  <c r="D38" i="32"/>
  <c r="D31" i="32"/>
  <c r="D67" i="32"/>
  <c r="D44" i="32"/>
  <c r="D32" i="32"/>
  <c r="D15" i="32"/>
  <c r="D83" i="32"/>
  <c r="D65" i="32"/>
  <c r="D76" i="32"/>
  <c r="D58" i="32"/>
  <c r="D50" i="32"/>
  <c r="D39" i="32"/>
  <c r="D33" i="32"/>
  <c r="D24" i="32"/>
  <c r="D23" i="32"/>
  <c r="D74" i="32"/>
  <c r="D56" i="32"/>
  <c r="D40" i="32"/>
  <c r="D34" i="32"/>
  <c r="D25" i="32"/>
  <c r="D70" i="32"/>
  <c r="D79" i="32"/>
  <c r="D61" i="32"/>
  <c r="D35" i="32"/>
  <c r="D26" i="32"/>
  <c r="D21" i="32"/>
  <c r="D64" i="32"/>
  <c r="D48" i="32"/>
  <c r="D41" i="32"/>
  <c r="D27" i="32"/>
  <c r="D80" i="32"/>
  <c r="D29" i="32"/>
  <c r="D20" i="32"/>
  <c r="D71" i="32"/>
  <c r="E52" i="32"/>
  <c r="D62" i="32"/>
  <c r="D77" i="32"/>
  <c r="D17" i="32"/>
  <c r="E36" i="32"/>
  <c r="D73" i="32"/>
  <c r="D19" i="32"/>
  <c r="D68" i="32"/>
  <c r="D22" i="32"/>
  <c r="E50" i="32"/>
  <c r="E39" i="32"/>
  <c r="E33" i="32"/>
  <c r="E24" i="32"/>
  <c r="E14" i="32"/>
  <c r="E31" i="32"/>
  <c r="E25" i="32"/>
  <c r="E19" i="32"/>
  <c r="D30" i="32"/>
  <c r="E42" i="32"/>
  <c r="E47" i="32"/>
  <c r="D16" i="32"/>
  <c r="E30" i="32"/>
  <c r="D55" i="32"/>
  <c r="D59" i="32"/>
  <c r="D47" i="32"/>
  <c r="E16" i="32"/>
  <c r="D28" i="32"/>
  <c r="E48" i="32"/>
  <c r="E55" i="32"/>
  <c r="D18" i="32"/>
  <c r="E28" i="32"/>
  <c r="D45" i="32"/>
  <c r="D82" i="32"/>
  <c r="E114" i="32"/>
  <c r="E111" i="32"/>
  <c r="E108" i="32"/>
  <c r="E105" i="32"/>
  <c r="E102" i="32"/>
  <c r="E99" i="32"/>
  <c r="E96" i="32"/>
  <c r="E93" i="32"/>
  <c r="E90" i="32"/>
  <c r="E87" i="32"/>
  <c r="E84" i="32"/>
  <c r="E81" i="32"/>
  <c r="E78" i="32"/>
  <c r="E75" i="32"/>
  <c r="E72" i="32"/>
  <c r="E69" i="32"/>
  <c r="E66" i="32"/>
  <c r="E63" i="32"/>
  <c r="E60" i="32"/>
  <c r="E57" i="32"/>
  <c r="E54" i="32"/>
  <c r="E49" i="32"/>
  <c r="E46" i="32"/>
  <c r="E43" i="32"/>
  <c r="E40" i="32"/>
  <c r="E37" i="32"/>
  <c r="E113" i="32"/>
  <c r="E112" i="32"/>
  <c r="E110" i="32"/>
  <c r="E109" i="32"/>
  <c r="E107" i="32"/>
  <c r="E106" i="32"/>
  <c r="E104" i="32"/>
  <c r="E103" i="32"/>
  <c r="E101" i="32"/>
  <c r="E100" i="32"/>
  <c r="E98" i="32"/>
  <c r="E97" i="32"/>
  <c r="E95" i="32"/>
  <c r="E94" i="32"/>
  <c r="E92" i="32"/>
  <c r="E91" i="32"/>
  <c r="E89" i="32"/>
  <c r="E88" i="32"/>
  <c r="E86" i="32"/>
  <c r="E85" i="32"/>
  <c r="E83" i="32"/>
  <c r="E82" i="32"/>
  <c r="E80" i="32"/>
  <c r="E79" i="32"/>
  <c r="E77" i="32"/>
  <c r="E76" i="32"/>
  <c r="E74" i="32"/>
  <c r="E73" i="32"/>
  <c r="E71" i="32"/>
  <c r="E70" i="32"/>
  <c r="E68" i="32"/>
  <c r="E67" i="32"/>
  <c r="E65" i="32"/>
  <c r="E64" i="32"/>
  <c r="E62" i="32"/>
  <c r="E61" i="32"/>
  <c r="E59" i="32"/>
  <c r="E58" i="32"/>
  <c r="E56" i="32"/>
  <c r="E44" i="32"/>
  <c r="E35" i="32"/>
  <c r="E32" i="32"/>
  <c r="E29" i="32"/>
  <c r="E26" i="32"/>
  <c r="E23" i="32"/>
  <c r="E20" i="32"/>
  <c r="E17" i="32"/>
  <c r="E53" i="32"/>
  <c r="E27" i="32"/>
  <c r="E41" i="32"/>
  <c r="E21" i="32"/>
  <c r="E51" i="32"/>
  <c r="E22" i="32"/>
  <c r="E45" i="32"/>
  <c r="B17" i="32"/>
  <c r="F16" i="32"/>
  <c r="H16" i="32" s="1"/>
  <c r="E15" i="32"/>
  <c r="C16" i="32"/>
  <c r="E21" i="31"/>
  <c r="E23" i="31"/>
  <c r="E24" i="31"/>
  <c r="E79" i="31"/>
  <c r="E16" i="31"/>
  <c r="D111" i="31"/>
  <c r="L14" i="31"/>
  <c r="E27" i="30"/>
  <c r="E36" i="30"/>
  <c r="E17" i="30"/>
  <c r="E24" i="30"/>
  <c r="E41" i="30"/>
  <c r="E52" i="30"/>
  <c r="D109" i="30"/>
  <c r="K14" i="30"/>
  <c r="D106" i="30"/>
  <c r="D27" i="30"/>
  <c r="D42" i="30"/>
  <c r="D73" i="30"/>
  <c r="D113" i="30"/>
  <c r="D43" i="30"/>
  <c r="D77" i="30"/>
  <c r="D110" i="30"/>
  <c r="D29" i="30"/>
  <c r="D44" i="30"/>
  <c r="D80" i="30"/>
  <c r="D31" i="30"/>
  <c r="D45" i="30"/>
  <c r="D83" i="30"/>
  <c r="D32" i="30"/>
  <c r="D46" i="30"/>
  <c r="D85" i="30"/>
  <c r="D16" i="30"/>
  <c r="D35" i="30"/>
  <c r="D47" i="30"/>
  <c r="D14" i="30"/>
  <c r="D36" i="30"/>
  <c r="D88" i="30"/>
  <c r="D20" i="30"/>
  <c r="D53" i="30"/>
  <c r="D89" i="30"/>
  <c r="D22" i="30"/>
  <c r="D39" i="30"/>
  <c r="D55" i="30"/>
  <c r="D92" i="30"/>
  <c r="D40" i="30"/>
  <c r="D56" i="30"/>
  <c r="D94" i="30"/>
  <c r="D25" i="30"/>
  <c r="D41" i="30"/>
  <c r="K14" i="31"/>
  <c r="L16" i="31"/>
  <c r="D85" i="31"/>
  <c r="D41" i="31"/>
  <c r="D19" i="31"/>
  <c r="E44" i="31"/>
  <c r="E78" i="31"/>
  <c r="D90" i="31"/>
  <c r="J14" i="31"/>
  <c r="E19" i="31"/>
  <c r="D32" i="31"/>
  <c r="D79" i="31"/>
  <c r="D21" i="31"/>
  <c r="E30" i="31"/>
  <c r="D42" i="31"/>
  <c r="D56" i="31"/>
  <c r="D65" i="31"/>
  <c r="E98" i="31"/>
  <c r="E77" i="31"/>
  <c r="D18" i="31"/>
  <c r="E25" i="31"/>
  <c r="E62" i="31"/>
  <c r="D114" i="31"/>
  <c r="D105" i="31"/>
  <c r="D96" i="31"/>
  <c r="D87" i="31"/>
  <c r="D78" i="31"/>
  <c r="D69" i="31"/>
  <c r="D60" i="31"/>
  <c r="D51" i="31"/>
  <c r="D48" i="31"/>
  <c r="D108" i="31"/>
  <c r="D91" i="31"/>
  <c r="D83" i="31"/>
  <c r="D75" i="31"/>
  <c r="D58" i="31"/>
  <c r="D46" i="31"/>
  <c r="D43" i="31"/>
  <c r="D102" i="31"/>
  <c r="D101" i="31"/>
  <c r="D100" i="31"/>
  <c r="D99" i="31"/>
  <c r="D98" i="31"/>
  <c r="D63" i="31"/>
  <c r="D62" i="31"/>
  <c r="D38" i="31"/>
  <c r="D89" i="31"/>
  <c r="D88" i="31"/>
  <c r="D71" i="31"/>
  <c r="D70" i="31"/>
  <c r="D55" i="31"/>
  <c r="D54" i="31"/>
  <c r="D47" i="31"/>
  <c r="D39" i="31"/>
  <c r="D66" i="31"/>
  <c r="D40" i="31"/>
  <c r="D112" i="31"/>
  <c r="D84" i="31"/>
  <c r="D61" i="31"/>
  <c r="D45" i="31"/>
  <c r="D44" i="31"/>
  <c r="D34" i="31"/>
  <c r="D23" i="31"/>
  <c r="D103" i="31"/>
  <c r="D94" i="31"/>
  <c r="D80" i="31"/>
  <c r="D57" i="31"/>
  <c r="D52" i="31"/>
  <c r="D27" i="31"/>
  <c r="D104" i="31"/>
  <c r="D95" i="31"/>
  <c r="D82" i="31"/>
  <c r="D73" i="31"/>
  <c r="D68" i="31"/>
  <c r="D59" i="31"/>
  <c r="D30" i="31"/>
  <c r="D25" i="31"/>
  <c r="D16" i="31"/>
  <c r="D110" i="31"/>
  <c r="D49" i="31"/>
  <c r="D97" i="31"/>
  <c r="D74" i="31"/>
  <c r="D37" i="31"/>
  <c r="D15" i="31"/>
  <c r="D14" i="31"/>
  <c r="D106" i="31"/>
  <c r="D76" i="31"/>
  <c r="D109" i="31"/>
  <c r="D86" i="31"/>
  <c r="D81" i="31"/>
  <c r="D72" i="31"/>
  <c r="D26" i="31"/>
  <c r="D50" i="31"/>
  <c r="D28" i="31"/>
  <c r="D93" i="31"/>
  <c r="D92" i="31"/>
  <c r="D64" i="31"/>
  <c r="D53" i="31"/>
  <c r="E15" i="31"/>
  <c r="D33" i="31"/>
  <c r="D35" i="31"/>
  <c r="E93" i="31"/>
  <c r="E112" i="31"/>
  <c r="E53" i="31"/>
  <c r="D20" i="31"/>
  <c r="D31" i="31"/>
  <c r="E35" i="31"/>
  <c r="E58" i="31"/>
  <c r="D67" i="31"/>
  <c r="E20" i="31"/>
  <c r="D29" i="31"/>
  <c r="E31" i="31"/>
  <c r="E54" i="31"/>
  <c r="D17" i="31"/>
  <c r="D77" i="31"/>
  <c r="E89" i="31"/>
  <c r="D107" i="31"/>
  <c r="D113" i="31"/>
  <c r="E14" i="31"/>
  <c r="E17" i="31"/>
  <c r="D22" i="31"/>
  <c r="D24" i="31"/>
  <c r="D36" i="31"/>
  <c r="E22" i="31"/>
  <c r="E32" i="31"/>
  <c r="E36" i="31"/>
  <c r="E42" i="31"/>
  <c r="E47" i="31"/>
  <c r="E51" i="31"/>
  <c r="E109" i="31"/>
  <c r="E100" i="31"/>
  <c r="E91" i="31"/>
  <c r="E82" i="31"/>
  <c r="E73" i="31"/>
  <c r="E64" i="31"/>
  <c r="E55" i="31"/>
  <c r="E107" i="31"/>
  <c r="E99" i="31"/>
  <c r="E74" i="31"/>
  <c r="E66" i="31"/>
  <c r="E50" i="31"/>
  <c r="E97" i="31"/>
  <c r="E95" i="31"/>
  <c r="E61" i="31"/>
  <c r="E59" i="31"/>
  <c r="E41" i="31"/>
  <c r="E106" i="31"/>
  <c r="E105" i="31"/>
  <c r="E90" i="31"/>
  <c r="E72" i="31"/>
  <c r="E56" i="31"/>
  <c r="E46" i="31"/>
  <c r="E45" i="31"/>
  <c r="E101" i="31"/>
  <c r="E86" i="31"/>
  <c r="E85" i="31"/>
  <c r="E84" i="31"/>
  <c r="E68" i="31"/>
  <c r="E67" i="31"/>
  <c r="E103" i="31"/>
  <c r="E94" i="31"/>
  <c r="E80" i="31"/>
  <c r="E75" i="31"/>
  <c r="E57" i="31"/>
  <c r="E52" i="31"/>
  <c r="E27" i="31"/>
  <c r="E18" i="31"/>
  <c r="E113" i="31"/>
  <c r="E108" i="31"/>
  <c r="E71" i="31"/>
  <c r="E33" i="31"/>
  <c r="E81" i="31"/>
  <c r="E110" i="31"/>
  <c r="E96" i="31"/>
  <c r="E49" i="31"/>
  <c r="E92" i="31"/>
  <c r="E87" i="31"/>
  <c r="E111" i="31"/>
  <c r="E88" i="31"/>
  <c r="E83" i="31"/>
  <c r="E69" i="31"/>
  <c r="E60" i="31"/>
  <c r="E40" i="31"/>
  <c r="E39" i="31"/>
  <c r="E38" i="31"/>
  <c r="E37" i="31"/>
  <c r="E48" i="31"/>
  <c r="E63" i="31"/>
  <c r="E65" i="31"/>
  <c r="K15" i="31"/>
  <c r="K16" i="31"/>
  <c r="E28" i="31"/>
  <c r="E76" i="31"/>
  <c r="E34" i="31"/>
  <c r="E43" i="31"/>
  <c r="E29" i="31"/>
  <c r="E114" i="31"/>
  <c r="B17" i="31"/>
  <c r="E26" i="31"/>
  <c r="E70" i="31"/>
  <c r="E104" i="31"/>
  <c r="E114" i="30"/>
  <c r="E111" i="30"/>
  <c r="E108" i="30"/>
  <c r="E105" i="30"/>
  <c r="E102" i="30"/>
  <c r="E99" i="30"/>
  <c r="E96" i="30"/>
  <c r="E93" i="30"/>
  <c r="E90" i="30"/>
  <c r="E87" i="30"/>
  <c r="E84" i="30"/>
  <c r="E81" i="30"/>
  <c r="E78" i="30"/>
  <c r="E75" i="30"/>
  <c r="E72" i="30"/>
  <c r="E69" i="30"/>
  <c r="E66" i="30"/>
  <c r="E63" i="30"/>
  <c r="E60" i="30"/>
  <c r="E57" i="30"/>
  <c r="E54" i="30"/>
  <c r="E110" i="30"/>
  <c r="E109" i="30"/>
  <c r="E101" i="30"/>
  <c r="E100" i="30"/>
  <c r="E92" i="30"/>
  <c r="E91" i="30"/>
  <c r="E83" i="30"/>
  <c r="E82" i="30"/>
  <c r="E74" i="30"/>
  <c r="E73" i="30"/>
  <c r="E65" i="30"/>
  <c r="E64" i="30"/>
  <c r="E51" i="30"/>
  <c r="E48" i="30"/>
  <c r="E45" i="30"/>
  <c r="E42" i="30"/>
  <c r="E59" i="30"/>
  <c r="E56" i="30"/>
  <c r="E113" i="30"/>
  <c r="E86" i="30"/>
  <c r="E58" i="30"/>
  <c r="E44" i="30"/>
  <c r="E33" i="30"/>
  <c r="E107" i="30"/>
  <c r="E80" i="30"/>
  <c r="E49" i="30"/>
  <c r="E95" i="30"/>
  <c r="E61" i="30"/>
  <c r="E23" i="30"/>
  <c r="E103" i="30"/>
  <c r="E98" i="30"/>
  <c r="E77" i="30"/>
  <c r="E55" i="30"/>
  <c r="E47" i="30"/>
  <c r="E46" i="30"/>
  <c r="E43" i="30"/>
  <c r="E70" i="30"/>
  <c r="E38" i="30"/>
  <c r="E37" i="30"/>
  <c r="E30" i="30"/>
  <c r="E21" i="30"/>
  <c r="E18" i="30"/>
  <c r="E15" i="30"/>
  <c r="E112" i="30"/>
  <c r="E53" i="30"/>
  <c r="E25" i="30"/>
  <c r="E79" i="30"/>
  <c r="E34" i="30"/>
  <c r="E104" i="30"/>
  <c r="E76" i="30"/>
  <c r="E71" i="30"/>
  <c r="E31" i="30"/>
  <c r="E88" i="30"/>
  <c r="E94" i="30"/>
  <c r="E39" i="30"/>
  <c r="E28" i="30"/>
  <c r="E22" i="30"/>
  <c r="E14" i="30"/>
  <c r="E97" i="30"/>
  <c r="E50" i="30"/>
  <c r="E19" i="30"/>
  <c r="E40" i="30"/>
  <c r="E32" i="30"/>
  <c r="E29" i="30"/>
  <c r="E26" i="30"/>
  <c r="E67" i="30"/>
  <c r="E89" i="30"/>
  <c r="E35" i="30"/>
  <c r="E20" i="30"/>
  <c r="E16" i="30"/>
  <c r="E106" i="30"/>
  <c r="D59" i="30"/>
  <c r="D71" i="30"/>
  <c r="D76" i="30"/>
  <c r="D101" i="30"/>
  <c r="D19" i="30"/>
  <c r="D51" i="30"/>
  <c r="D114" i="30"/>
  <c r="D111" i="30"/>
  <c r="D108" i="30"/>
  <c r="D105" i="30"/>
  <c r="D102" i="30"/>
  <c r="D99" i="30"/>
  <c r="D96" i="30"/>
  <c r="D93" i="30"/>
  <c r="D90" i="30"/>
  <c r="D87" i="30"/>
  <c r="D84" i="30"/>
  <c r="D81" i="30"/>
  <c r="D78" i="30"/>
  <c r="D75" i="30"/>
  <c r="D72" i="30"/>
  <c r="D69" i="30"/>
  <c r="D66" i="30"/>
  <c r="D63" i="30"/>
  <c r="D60" i="30"/>
  <c r="D57" i="30"/>
  <c r="D97" i="30"/>
  <c r="D70" i="30"/>
  <c r="D38" i="30"/>
  <c r="D95" i="30"/>
  <c r="D91" i="30"/>
  <c r="D68" i="30"/>
  <c r="D64" i="30"/>
  <c r="D54" i="30"/>
  <c r="D50" i="30"/>
  <c r="D100" i="30"/>
  <c r="D79" i="30"/>
  <c r="D74" i="30"/>
  <c r="D34" i="30"/>
  <c r="D28" i="30"/>
  <c r="D82" i="30"/>
  <c r="D61" i="30"/>
  <c r="D58" i="30"/>
  <c r="D49" i="30"/>
  <c r="D48" i="30"/>
  <c r="D33" i="30"/>
  <c r="D23" i="30"/>
  <c r="D98" i="30"/>
  <c r="D103" i="30"/>
  <c r="D104" i="30"/>
  <c r="D65" i="30"/>
  <c r="D52" i="30"/>
  <c r="D107" i="30"/>
  <c r="D86" i="30"/>
  <c r="D37" i="30"/>
  <c r="D30" i="30"/>
  <c r="D21" i="30"/>
  <c r="D18" i="30"/>
  <c r="D15" i="30"/>
  <c r="D112" i="30"/>
  <c r="G16" i="30"/>
  <c r="I16" i="30" s="1"/>
  <c r="L16" i="30" s="1"/>
  <c r="B17" i="30"/>
  <c r="F16" i="30"/>
  <c r="H16" i="30" s="1"/>
  <c r="D17" i="30"/>
  <c r="D24" i="30"/>
  <c r="D62" i="30"/>
  <c r="D67" i="30"/>
  <c r="K15" i="30"/>
  <c r="L14" i="29"/>
  <c r="E15" i="29"/>
  <c r="E17" i="29"/>
  <c r="E31" i="29"/>
  <c r="E52" i="29"/>
  <c r="D110" i="29"/>
  <c r="D100" i="29"/>
  <c r="D46" i="29"/>
  <c r="D104" i="29"/>
  <c r="D92" i="29"/>
  <c r="D86" i="29"/>
  <c r="D55" i="29"/>
  <c r="D43" i="29"/>
  <c r="D34" i="29"/>
  <c r="D17" i="29"/>
  <c r="D65" i="29"/>
  <c r="D59" i="29"/>
  <c r="D83" i="29"/>
  <c r="D73" i="29"/>
  <c r="D91" i="29"/>
  <c r="D77" i="29"/>
  <c r="D113" i="29"/>
  <c r="D19" i="29"/>
  <c r="D22" i="29"/>
  <c r="D28" i="29"/>
  <c r="E114" i="29"/>
  <c r="E111" i="29"/>
  <c r="E108" i="29"/>
  <c r="E105" i="29"/>
  <c r="E102" i="29"/>
  <c r="E99" i="29"/>
  <c r="E96" i="29"/>
  <c r="E93" i="29"/>
  <c r="E90" i="29"/>
  <c r="E87" i="29"/>
  <c r="E84" i="29"/>
  <c r="E81" i="29"/>
  <c r="E78" i="29"/>
  <c r="E75" i="29"/>
  <c r="E72" i="29"/>
  <c r="E69" i="29"/>
  <c r="E66" i="29"/>
  <c r="E63" i="29"/>
  <c r="E60" i="29"/>
  <c r="E57" i="29"/>
  <c r="E54" i="29"/>
  <c r="E109" i="29"/>
  <c r="E100" i="29"/>
  <c r="E91" i="29"/>
  <c r="E82" i="29"/>
  <c r="E73" i="29"/>
  <c r="E64" i="29"/>
  <c r="E55" i="29"/>
  <c r="E50" i="29"/>
  <c r="E47" i="29"/>
  <c r="E44" i="29"/>
  <c r="E41" i="29"/>
  <c r="E38" i="29"/>
  <c r="E35" i="29"/>
  <c r="E32" i="29"/>
  <c r="E107" i="29"/>
  <c r="E98" i="29"/>
  <c r="E89" i="29"/>
  <c r="E80" i="29"/>
  <c r="E71" i="29"/>
  <c r="E62" i="29"/>
  <c r="E53" i="29"/>
  <c r="E101" i="29"/>
  <c r="E74" i="29"/>
  <c r="E97" i="29"/>
  <c r="E70" i="29"/>
  <c r="E43" i="29"/>
  <c r="E34" i="29"/>
  <c r="E28" i="29"/>
  <c r="E25" i="29"/>
  <c r="E22" i="29"/>
  <c r="E110" i="29"/>
  <c r="E83" i="29"/>
  <c r="E56" i="29"/>
  <c r="E92" i="29"/>
  <c r="E65" i="29"/>
  <c r="E86" i="29"/>
  <c r="E76" i="29"/>
  <c r="E106" i="29"/>
  <c r="E104" i="29"/>
  <c r="E33" i="29"/>
  <c r="E14" i="29"/>
  <c r="E94" i="29"/>
  <c r="E88" i="29"/>
  <c r="E46" i="29"/>
  <c r="E42" i="29"/>
  <c r="E112" i="29"/>
  <c r="E59" i="29"/>
  <c r="E39" i="29"/>
  <c r="E67" i="29"/>
  <c r="E61" i="29"/>
  <c r="E51" i="29"/>
  <c r="E40" i="29"/>
  <c r="E79" i="29"/>
  <c r="E77" i="29"/>
  <c r="E95" i="29"/>
  <c r="E85" i="29"/>
  <c r="E113" i="29"/>
  <c r="E103" i="29"/>
  <c r="E48" i="29"/>
  <c r="E19" i="29"/>
  <c r="E36" i="29"/>
  <c r="E30" i="29"/>
  <c r="D25" i="29"/>
  <c r="E20" i="29"/>
  <c r="E23" i="29"/>
  <c r="E26" i="29"/>
  <c r="E29" i="29"/>
  <c r="D40" i="29"/>
  <c r="D14" i="29"/>
  <c r="D49" i="29"/>
  <c r="D64" i="29"/>
  <c r="E18" i="29"/>
  <c r="D37" i="29"/>
  <c r="E45" i="29"/>
  <c r="E49" i="29"/>
  <c r="D56" i="29"/>
  <c r="B17" i="29"/>
  <c r="G16" i="29"/>
  <c r="I16" i="29" s="1"/>
  <c r="L16" i="29" s="1"/>
  <c r="F16" i="29"/>
  <c r="H16" i="29" s="1"/>
  <c r="C16" i="29"/>
  <c r="E37" i="29"/>
  <c r="E16" i="29"/>
  <c r="E21" i="29"/>
  <c r="E24" i="29"/>
  <c r="E27" i="29"/>
  <c r="E58" i="29"/>
  <c r="D31" i="29"/>
  <c r="D114" i="29"/>
  <c r="D111" i="29"/>
  <c r="D108" i="29"/>
  <c r="D105" i="29"/>
  <c r="D102" i="29"/>
  <c r="D99" i="29"/>
  <c r="D96" i="29"/>
  <c r="D93" i="29"/>
  <c r="D90" i="29"/>
  <c r="D87" i="29"/>
  <c r="D84" i="29"/>
  <c r="D81" i="29"/>
  <c r="D78" i="29"/>
  <c r="D75" i="29"/>
  <c r="D72" i="29"/>
  <c r="D69" i="29"/>
  <c r="D66" i="29"/>
  <c r="D63" i="29"/>
  <c r="D60" i="29"/>
  <c r="D57" i="29"/>
  <c r="D54" i="29"/>
  <c r="D106" i="29"/>
  <c r="D97" i="29"/>
  <c r="D88" i="29"/>
  <c r="D79" i="29"/>
  <c r="D70" i="29"/>
  <c r="D61" i="29"/>
  <c r="D52" i="29"/>
  <c r="D51" i="29"/>
  <c r="D48" i="29"/>
  <c r="D45" i="29"/>
  <c r="D42" i="29"/>
  <c r="D39" i="29"/>
  <c r="D36" i="29"/>
  <c r="D33" i="29"/>
  <c r="D30" i="29"/>
  <c r="D112" i="29"/>
  <c r="D89" i="29"/>
  <c r="D85" i="29"/>
  <c r="D62" i="29"/>
  <c r="D58" i="29"/>
  <c r="D44" i="29"/>
  <c r="D35" i="29"/>
  <c r="D101" i="29"/>
  <c r="D74" i="29"/>
  <c r="D98" i="29"/>
  <c r="D94" i="29"/>
  <c r="D71" i="29"/>
  <c r="D67" i="29"/>
  <c r="D50" i="29"/>
  <c r="D41" i="29"/>
  <c r="D107" i="29"/>
  <c r="D103" i="29"/>
  <c r="D80" i="29"/>
  <c r="D76" i="29"/>
  <c r="D53" i="29"/>
  <c r="D47" i="29"/>
  <c r="D38" i="29"/>
  <c r="K14" i="29"/>
  <c r="D16" i="29"/>
  <c r="D20" i="29"/>
  <c r="D21" i="29"/>
  <c r="D23" i="29"/>
  <c r="D24" i="29"/>
  <c r="D26" i="29"/>
  <c r="D27" i="29"/>
  <c r="D29" i="29"/>
  <c r="D95" i="29"/>
  <c r="D109" i="29"/>
  <c r="K15" i="29"/>
  <c r="L15" i="29"/>
  <c r="K16" i="29"/>
  <c r="D15" i="29"/>
  <c r="M15" i="29" s="1"/>
  <c r="D18" i="29"/>
  <c r="D32" i="29"/>
  <c r="D68" i="29"/>
  <c r="D82" i="29"/>
  <c r="K14" i="24"/>
  <c r="K16" i="24"/>
  <c r="D39" i="24"/>
  <c r="E14" i="24"/>
  <c r="E40" i="24"/>
  <c r="D29" i="24"/>
  <c r="D33" i="24"/>
  <c r="D37" i="24"/>
  <c r="F17" i="24"/>
  <c r="H17" i="24" s="1"/>
  <c r="K17" i="24" s="1"/>
  <c r="C17" i="24"/>
  <c r="B18" i="24"/>
  <c r="G18" i="24" s="1"/>
  <c r="I17" i="24"/>
  <c r="L17" i="24" s="1"/>
  <c r="J16" i="24"/>
  <c r="J15" i="24"/>
  <c r="D83" i="24"/>
  <c r="D81" i="24"/>
  <c r="D79" i="24"/>
  <c r="D77" i="24"/>
  <c r="D75" i="24"/>
  <c r="D73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2" i="24"/>
  <c r="D80" i="24"/>
  <c r="D78" i="24"/>
  <c r="D76" i="24"/>
  <c r="D74" i="24"/>
  <c r="D72" i="24"/>
  <c r="D68" i="24"/>
  <c r="D64" i="24"/>
  <c r="D62" i="24"/>
  <c r="D60" i="24"/>
  <c r="D58" i="24"/>
  <c r="D56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70" i="24"/>
  <c r="D66" i="24"/>
  <c r="D63" i="24"/>
  <c r="D61" i="24"/>
  <c r="D59" i="24"/>
  <c r="D57" i="24"/>
  <c r="D55" i="24"/>
  <c r="D69" i="24"/>
  <c r="D71" i="24"/>
  <c r="E52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49" i="24"/>
  <c r="E45" i="24"/>
  <c r="E41" i="24"/>
  <c r="E50" i="24"/>
  <c r="E46" i="24"/>
  <c r="E42" i="24"/>
  <c r="E53" i="24"/>
  <c r="E51" i="24"/>
  <c r="E47" i="24"/>
  <c r="E43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D27" i="24"/>
  <c r="D28" i="24"/>
  <c r="D32" i="24"/>
  <c r="D36" i="24"/>
  <c r="E48" i="24"/>
  <c r="D67" i="24"/>
  <c r="D31" i="24"/>
  <c r="D35" i="24"/>
  <c r="D15" i="24"/>
  <c r="L15" i="24"/>
  <c r="D16" i="24"/>
  <c r="L16" i="24"/>
  <c r="D17" i="24"/>
  <c r="D18" i="24"/>
  <c r="D19" i="24"/>
  <c r="D20" i="24"/>
  <c r="D21" i="24"/>
  <c r="D22" i="24"/>
  <c r="D23" i="24"/>
  <c r="D24" i="24"/>
  <c r="D25" i="24"/>
  <c r="D26" i="24"/>
  <c r="D14" i="24"/>
  <c r="L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D30" i="24"/>
  <c r="D34" i="24"/>
  <c r="D38" i="24"/>
  <c r="E44" i="24"/>
  <c r="D65" i="24"/>
  <c r="P14" i="33" l="1"/>
  <c r="M16" i="33"/>
  <c r="M15" i="30"/>
  <c r="O15" i="30" s="1"/>
  <c r="N14" i="33"/>
  <c r="O14" i="33"/>
  <c r="Q14" i="33" s="1"/>
  <c r="P15" i="33"/>
  <c r="N15" i="33"/>
  <c r="P16" i="33"/>
  <c r="N16" i="33"/>
  <c r="O17" i="33"/>
  <c r="C19" i="33"/>
  <c r="M19" i="33" s="1"/>
  <c r="B20" i="33"/>
  <c r="F19" i="33"/>
  <c r="H19" i="33" s="1"/>
  <c r="G19" i="33"/>
  <c r="I19" i="33" s="1"/>
  <c r="L19" i="33" s="1"/>
  <c r="O15" i="33"/>
  <c r="J18" i="33"/>
  <c r="K18" i="33"/>
  <c r="P17" i="33"/>
  <c r="N17" i="33"/>
  <c r="O16" i="33"/>
  <c r="M18" i="33"/>
  <c r="M14" i="32"/>
  <c r="N14" i="32" s="1"/>
  <c r="M15" i="32"/>
  <c r="P15" i="32" s="1"/>
  <c r="G17" i="32"/>
  <c r="I17" i="32" s="1"/>
  <c r="L17" i="32" s="1"/>
  <c r="F17" i="32"/>
  <c r="H17" i="32" s="1"/>
  <c r="B18" i="32"/>
  <c r="C17" i="32"/>
  <c r="M17" i="32" s="1"/>
  <c r="M16" i="32"/>
  <c r="K16" i="32"/>
  <c r="J16" i="32"/>
  <c r="M16" i="31"/>
  <c r="O16" i="31" s="1"/>
  <c r="M14" i="31"/>
  <c r="O14" i="31" s="1"/>
  <c r="M15" i="31"/>
  <c r="N15" i="31" s="1"/>
  <c r="M16" i="30"/>
  <c r="P16" i="30" s="1"/>
  <c r="M14" i="30"/>
  <c r="O14" i="30" s="1"/>
  <c r="C17" i="31"/>
  <c r="M17" i="31" s="1"/>
  <c r="B18" i="31"/>
  <c r="G17" i="31"/>
  <c r="I17" i="31" s="1"/>
  <c r="L17" i="31" s="1"/>
  <c r="F17" i="31"/>
  <c r="H17" i="31" s="1"/>
  <c r="K16" i="30"/>
  <c r="J16" i="30"/>
  <c r="C17" i="30"/>
  <c r="M17" i="30" s="1"/>
  <c r="B18" i="30"/>
  <c r="G17" i="30"/>
  <c r="I17" i="30" s="1"/>
  <c r="L17" i="30" s="1"/>
  <c r="F17" i="30"/>
  <c r="H17" i="30" s="1"/>
  <c r="O15" i="29"/>
  <c r="G17" i="29"/>
  <c r="I17" i="29" s="1"/>
  <c r="L17" i="29" s="1"/>
  <c r="B18" i="29"/>
  <c r="F17" i="29"/>
  <c r="H17" i="29" s="1"/>
  <c r="C17" i="29"/>
  <c r="M17" i="29" s="1"/>
  <c r="P15" i="29"/>
  <c r="N15" i="29"/>
  <c r="M16" i="29"/>
  <c r="M14" i="29"/>
  <c r="O16" i="29"/>
  <c r="J16" i="29"/>
  <c r="M14" i="24"/>
  <c r="O14" i="24" s="1"/>
  <c r="M16" i="24"/>
  <c r="N16" i="24" s="1"/>
  <c r="M15" i="24"/>
  <c r="N15" i="24" s="1"/>
  <c r="F18" i="24"/>
  <c r="H18" i="24" s="1"/>
  <c r="K18" i="24" s="1"/>
  <c r="C18" i="24"/>
  <c r="M18" i="24" s="1"/>
  <c r="B19" i="24"/>
  <c r="G19" i="24" s="1"/>
  <c r="I18" i="24"/>
  <c r="L18" i="24" s="1"/>
  <c r="M17" i="24"/>
  <c r="J17" i="24"/>
  <c r="N15" i="30" l="1"/>
  <c r="P15" i="30"/>
  <c r="Q15" i="30" s="1"/>
  <c r="D4" i="34" s="1"/>
  <c r="O16" i="30"/>
  <c r="Q16" i="30" s="1"/>
  <c r="D5" i="34" s="1"/>
  <c r="G20" i="33"/>
  <c r="I20" i="33" s="1"/>
  <c r="L20" i="33" s="1"/>
  <c r="B21" i="33"/>
  <c r="F20" i="33"/>
  <c r="H20" i="33" s="1"/>
  <c r="C20" i="33"/>
  <c r="M20" i="33" s="1"/>
  <c r="K19" i="33"/>
  <c r="O19" i="33" s="1"/>
  <c r="J19" i="33"/>
  <c r="P19" i="33"/>
  <c r="P18" i="33"/>
  <c r="N18" i="33"/>
  <c r="Q16" i="33"/>
  <c r="Q17" i="33"/>
  <c r="Q15" i="33"/>
  <c r="O18" i="33"/>
  <c r="P14" i="32"/>
  <c r="O14" i="32"/>
  <c r="O15" i="32"/>
  <c r="Q15" i="32" s="1"/>
  <c r="N15" i="32"/>
  <c r="O16" i="32"/>
  <c r="K17" i="32"/>
  <c r="O17" i="32" s="1"/>
  <c r="J17" i="32"/>
  <c r="P16" i="32"/>
  <c r="N16" i="32"/>
  <c r="P17" i="32"/>
  <c r="C18" i="32"/>
  <c r="M18" i="32" s="1"/>
  <c r="B19" i="32"/>
  <c r="F18" i="32"/>
  <c r="H18" i="32" s="1"/>
  <c r="G18" i="32"/>
  <c r="I18" i="32" s="1"/>
  <c r="L18" i="32" s="1"/>
  <c r="N16" i="31"/>
  <c r="P16" i="31"/>
  <c r="Q16" i="31" s="1"/>
  <c r="E5" i="34" s="1"/>
  <c r="P14" i="31"/>
  <c r="Q14" i="31" s="1"/>
  <c r="E3" i="34" s="1"/>
  <c r="N14" i="31"/>
  <c r="O15" i="31"/>
  <c r="P15" i="31"/>
  <c r="P14" i="30"/>
  <c r="Q14" i="30" s="1"/>
  <c r="D3" i="34" s="1"/>
  <c r="N14" i="30"/>
  <c r="N16" i="30"/>
  <c r="K17" i="31"/>
  <c r="O17" i="31" s="1"/>
  <c r="J17" i="31"/>
  <c r="B19" i="31"/>
  <c r="G18" i="31"/>
  <c r="I18" i="31" s="1"/>
  <c r="L18" i="31" s="1"/>
  <c r="F18" i="31"/>
  <c r="H18" i="31" s="1"/>
  <c r="C18" i="31"/>
  <c r="M18" i="31" s="1"/>
  <c r="P17" i="31"/>
  <c r="K17" i="30"/>
  <c r="O17" i="30" s="1"/>
  <c r="J17" i="30"/>
  <c r="F18" i="30"/>
  <c r="H18" i="30" s="1"/>
  <c r="G18" i="30"/>
  <c r="I18" i="30" s="1"/>
  <c r="L18" i="30" s="1"/>
  <c r="C18" i="30"/>
  <c r="M18" i="30" s="1"/>
  <c r="B19" i="30"/>
  <c r="P17" i="30"/>
  <c r="Q15" i="29"/>
  <c r="B4" i="34" s="1"/>
  <c r="N14" i="29"/>
  <c r="P14" i="29"/>
  <c r="P16" i="29"/>
  <c r="Q16" i="29" s="1"/>
  <c r="B5" i="34" s="1"/>
  <c r="N16" i="29"/>
  <c r="P17" i="29"/>
  <c r="J17" i="29"/>
  <c r="K17" i="29"/>
  <c r="O17" i="29" s="1"/>
  <c r="C18" i="29"/>
  <c r="M18" i="29" s="1"/>
  <c r="G18" i="29"/>
  <c r="I18" i="29" s="1"/>
  <c r="L18" i="29" s="1"/>
  <c r="B19" i="29"/>
  <c r="F18" i="29"/>
  <c r="H18" i="29" s="1"/>
  <c r="O14" i="29"/>
  <c r="P14" i="24"/>
  <c r="Q14" i="24" s="1"/>
  <c r="C3" i="34" s="1"/>
  <c r="N14" i="24"/>
  <c r="O15" i="24"/>
  <c r="O16" i="24"/>
  <c r="P16" i="24"/>
  <c r="P15" i="24"/>
  <c r="O17" i="24"/>
  <c r="N17" i="24"/>
  <c r="P17" i="24"/>
  <c r="F19" i="24"/>
  <c r="H19" i="24" s="1"/>
  <c r="K19" i="24" s="1"/>
  <c r="C19" i="24"/>
  <c r="M19" i="24" s="1"/>
  <c r="B20" i="24"/>
  <c r="G20" i="24" s="1"/>
  <c r="I19" i="24"/>
  <c r="L19" i="24" s="1"/>
  <c r="P18" i="24"/>
  <c r="O18" i="24"/>
  <c r="J18" i="24"/>
  <c r="Q15" i="31" l="1"/>
  <c r="E4" i="34" s="1"/>
  <c r="N19" i="33"/>
  <c r="Q19" i="33"/>
  <c r="P20" i="33"/>
  <c r="J20" i="33"/>
  <c r="K20" i="33"/>
  <c r="O20" i="33" s="1"/>
  <c r="G21" i="33"/>
  <c r="I21" i="33" s="1"/>
  <c r="L21" i="33" s="1"/>
  <c r="B22" i="33"/>
  <c r="F21" i="33"/>
  <c r="H21" i="33" s="1"/>
  <c r="C21" i="33"/>
  <c r="M21" i="33" s="1"/>
  <c r="Q18" i="33"/>
  <c r="Q14" i="32"/>
  <c r="B20" i="32"/>
  <c r="F19" i="32"/>
  <c r="H19" i="32" s="1"/>
  <c r="G19" i="32"/>
  <c r="I19" i="32" s="1"/>
  <c r="L19" i="32" s="1"/>
  <c r="C19" i="32"/>
  <c r="M19" i="32" s="1"/>
  <c r="J18" i="32"/>
  <c r="K18" i="32"/>
  <c r="O18" i="32" s="1"/>
  <c r="P18" i="32"/>
  <c r="Q17" i="32"/>
  <c r="N17" i="32"/>
  <c r="Q16" i="32"/>
  <c r="N17" i="31"/>
  <c r="Q17" i="31"/>
  <c r="E6" i="34" s="1"/>
  <c r="J18" i="31"/>
  <c r="K18" i="31"/>
  <c r="O18" i="31" s="1"/>
  <c r="P18" i="31"/>
  <c r="G19" i="31"/>
  <c r="I19" i="31" s="1"/>
  <c r="L19" i="31" s="1"/>
  <c r="F19" i="31"/>
  <c r="H19" i="31" s="1"/>
  <c r="B20" i="31"/>
  <c r="C19" i="31"/>
  <c r="M19" i="31" s="1"/>
  <c r="Q17" i="30"/>
  <c r="D6" i="34" s="1"/>
  <c r="N17" i="30"/>
  <c r="G19" i="30"/>
  <c r="I19" i="30" s="1"/>
  <c r="L19" i="30" s="1"/>
  <c r="B20" i="30"/>
  <c r="F19" i="30"/>
  <c r="H19" i="30" s="1"/>
  <c r="C19" i="30"/>
  <c r="M19" i="30" s="1"/>
  <c r="P18" i="30"/>
  <c r="J18" i="30"/>
  <c r="K18" i="30"/>
  <c r="O18" i="30" s="1"/>
  <c r="Q14" i="29"/>
  <c r="B3" i="34" s="1"/>
  <c r="J18" i="29"/>
  <c r="K18" i="29"/>
  <c r="O18" i="29" s="1"/>
  <c r="B20" i="29"/>
  <c r="F19" i="29"/>
  <c r="H19" i="29" s="1"/>
  <c r="G19" i="29"/>
  <c r="I19" i="29" s="1"/>
  <c r="L19" i="29" s="1"/>
  <c r="C19" i="29"/>
  <c r="M19" i="29" s="1"/>
  <c r="P18" i="29"/>
  <c r="N17" i="29"/>
  <c r="Q17" i="29"/>
  <c r="B6" i="34" s="1"/>
  <c r="Q15" i="24"/>
  <c r="C4" i="34" s="1"/>
  <c r="Q16" i="24"/>
  <c r="C5" i="34" s="1"/>
  <c r="Q17" i="24"/>
  <c r="C6" i="34" s="1"/>
  <c r="Q18" i="24"/>
  <c r="C7" i="34" s="1"/>
  <c r="N18" i="24"/>
  <c r="F20" i="24"/>
  <c r="H20" i="24" s="1"/>
  <c r="K20" i="24" s="1"/>
  <c r="C20" i="24"/>
  <c r="M20" i="24" s="1"/>
  <c r="B21" i="24"/>
  <c r="G21" i="24" s="1"/>
  <c r="I20" i="24"/>
  <c r="L20" i="24" s="1"/>
  <c r="P19" i="24"/>
  <c r="O19" i="24"/>
  <c r="J19" i="24"/>
  <c r="N20" i="33" l="1"/>
  <c r="Q20" i="33"/>
  <c r="P21" i="33"/>
  <c r="J21" i="33"/>
  <c r="K21" i="33"/>
  <c r="O21" i="33" s="1"/>
  <c r="C22" i="33"/>
  <c r="M22" i="33" s="1"/>
  <c r="B23" i="33"/>
  <c r="F22" i="33"/>
  <c r="H22" i="33" s="1"/>
  <c r="G22" i="33"/>
  <c r="I22" i="33" s="1"/>
  <c r="L22" i="33" s="1"/>
  <c r="Q18" i="32"/>
  <c r="N18" i="32"/>
  <c r="P19" i="32"/>
  <c r="K19" i="32"/>
  <c r="O19" i="32" s="1"/>
  <c r="J19" i="32"/>
  <c r="G20" i="32"/>
  <c r="I20" i="32" s="1"/>
  <c r="L20" i="32" s="1"/>
  <c r="F20" i="32"/>
  <c r="H20" i="32" s="1"/>
  <c r="B21" i="32"/>
  <c r="C20" i="32"/>
  <c r="M20" i="32" s="1"/>
  <c r="N18" i="31"/>
  <c r="Q18" i="31"/>
  <c r="E7" i="34" s="1"/>
  <c r="P19" i="31"/>
  <c r="C20" i="31"/>
  <c r="M20" i="31" s="1"/>
  <c r="F20" i="31"/>
  <c r="H20" i="31" s="1"/>
  <c r="G20" i="31"/>
  <c r="I20" i="31" s="1"/>
  <c r="L20" i="31" s="1"/>
  <c r="B21" i="31"/>
  <c r="K19" i="31"/>
  <c r="O19" i="31" s="1"/>
  <c r="J19" i="31"/>
  <c r="C20" i="30"/>
  <c r="M20" i="30" s="1"/>
  <c r="F20" i="30"/>
  <c r="H20" i="30" s="1"/>
  <c r="B21" i="30"/>
  <c r="G20" i="30"/>
  <c r="I20" i="30" s="1"/>
  <c r="L20" i="30" s="1"/>
  <c r="N18" i="30"/>
  <c r="Q18" i="30"/>
  <c r="D7" i="34" s="1"/>
  <c r="P19" i="30"/>
  <c r="K19" i="30"/>
  <c r="O19" i="30" s="1"/>
  <c r="J19" i="30"/>
  <c r="N18" i="29"/>
  <c r="Q18" i="29"/>
  <c r="B7" i="34" s="1"/>
  <c r="P19" i="29"/>
  <c r="J19" i="29"/>
  <c r="K19" i="29"/>
  <c r="O19" i="29" s="1"/>
  <c r="B21" i="29"/>
  <c r="F20" i="29"/>
  <c r="H20" i="29" s="1"/>
  <c r="G20" i="29"/>
  <c r="I20" i="29" s="1"/>
  <c r="L20" i="29" s="1"/>
  <c r="C20" i="29"/>
  <c r="M20" i="29" s="1"/>
  <c r="Q19" i="24"/>
  <c r="C8" i="34" s="1"/>
  <c r="N19" i="24"/>
  <c r="F21" i="24"/>
  <c r="H21" i="24" s="1"/>
  <c r="K21" i="24" s="1"/>
  <c r="C21" i="24"/>
  <c r="M21" i="24" s="1"/>
  <c r="B22" i="24"/>
  <c r="G22" i="24" s="1"/>
  <c r="I21" i="24"/>
  <c r="L21" i="24" s="1"/>
  <c r="P20" i="24"/>
  <c r="O20" i="24"/>
  <c r="J20" i="24"/>
  <c r="N21" i="33" l="1"/>
  <c r="Q21" i="33"/>
  <c r="P22" i="33"/>
  <c r="K22" i="33"/>
  <c r="O22" i="33" s="1"/>
  <c r="J22" i="33"/>
  <c r="G23" i="33"/>
  <c r="I23" i="33" s="1"/>
  <c r="L23" i="33" s="1"/>
  <c r="B24" i="33"/>
  <c r="F23" i="33"/>
  <c r="H23" i="33" s="1"/>
  <c r="C23" i="33"/>
  <c r="M23" i="33" s="1"/>
  <c r="N19" i="32"/>
  <c r="P20" i="32"/>
  <c r="G21" i="32"/>
  <c r="I21" i="32" s="1"/>
  <c r="L21" i="32" s="1"/>
  <c r="B22" i="32"/>
  <c r="F21" i="32"/>
  <c r="H21" i="32" s="1"/>
  <c r="C21" i="32"/>
  <c r="M21" i="32" s="1"/>
  <c r="K20" i="32"/>
  <c r="O20" i="32" s="1"/>
  <c r="J20" i="32"/>
  <c r="Q19" i="32"/>
  <c r="Q19" i="30"/>
  <c r="D8" i="34" s="1"/>
  <c r="C21" i="31"/>
  <c r="M21" i="31" s="1"/>
  <c r="F21" i="31"/>
  <c r="H21" i="31" s="1"/>
  <c r="B22" i="31"/>
  <c r="G21" i="31"/>
  <c r="I21" i="31" s="1"/>
  <c r="L21" i="31" s="1"/>
  <c r="K20" i="31"/>
  <c r="O20" i="31" s="1"/>
  <c r="J20" i="31"/>
  <c r="P20" i="31"/>
  <c r="N19" i="31"/>
  <c r="Q19" i="31"/>
  <c r="E8" i="34" s="1"/>
  <c r="J20" i="30"/>
  <c r="K20" i="30"/>
  <c r="O20" i="30" s="1"/>
  <c r="N19" i="30"/>
  <c r="B22" i="30"/>
  <c r="G21" i="30"/>
  <c r="I21" i="30" s="1"/>
  <c r="L21" i="30" s="1"/>
  <c r="F21" i="30"/>
  <c r="H21" i="30" s="1"/>
  <c r="C21" i="30"/>
  <c r="M21" i="30" s="1"/>
  <c r="P20" i="30"/>
  <c r="G21" i="29"/>
  <c r="I21" i="29" s="1"/>
  <c r="L21" i="29" s="1"/>
  <c r="F21" i="29"/>
  <c r="H21" i="29" s="1"/>
  <c r="B22" i="29"/>
  <c r="C21" i="29"/>
  <c r="M21" i="29" s="1"/>
  <c r="N19" i="29"/>
  <c r="Q19" i="29"/>
  <c r="B8" i="34" s="1"/>
  <c r="P20" i="29"/>
  <c r="J20" i="29"/>
  <c r="K20" i="29"/>
  <c r="O20" i="29" s="1"/>
  <c r="P21" i="24"/>
  <c r="O21" i="24"/>
  <c r="J21" i="24"/>
  <c r="Q20" i="24"/>
  <c r="C9" i="34" s="1"/>
  <c r="F22" i="24"/>
  <c r="H22" i="24" s="1"/>
  <c r="K22" i="24" s="1"/>
  <c r="C22" i="24"/>
  <c r="M22" i="24" s="1"/>
  <c r="B23" i="24"/>
  <c r="G23" i="24" s="1"/>
  <c r="I22" i="24"/>
  <c r="L22" i="24" s="1"/>
  <c r="N20" i="24"/>
  <c r="Q22" i="33" l="1"/>
  <c r="J23" i="33"/>
  <c r="K23" i="33"/>
  <c r="O23" i="33" s="1"/>
  <c r="G24" i="33"/>
  <c r="I24" i="33" s="1"/>
  <c r="L24" i="33" s="1"/>
  <c r="B25" i="33"/>
  <c r="F24" i="33"/>
  <c r="H24" i="33" s="1"/>
  <c r="C24" i="33"/>
  <c r="M24" i="33" s="1"/>
  <c r="P23" i="33"/>
  <c r="N23" i="33"/>
  <c r="N22" i="33"/>
  <c r="N20" i="32"/>
  <c r="P21" i="32"/>
  <c r="J21" i="32"/>
  <c r="K21" i="32"/>
  <c r="O21" i="32" s="1"/>
  <c r="B23" i="32"/>
  <c r="F22" i="32"/>
  <c r="H22" i="32" s="1"/>
  <c r="G22" i="32"/>
  <c r="I22" i="32" s="1"/>
  <c r="L22" i="32" s="1"/>
  <c r="C22" i="32"/>
  <c r="M22" i="32" s="1"/>
  <c r="Q20" i="32"/>
  <c r="Q20" i="31"/>
  <c r="E9" i="34" s="1"/>
  <c r="N20" i="31"/>
  <c r="N20" i="30"/>
  <c r="Q20" i="30"/>
  <c r="D9" i="34" s="1"/>
  <c r="G22" i="31"/>
  <c r="I22" i="31" s="1"/>
  <c r="L22" i="31" s="1"/>
  <c r="F22" i="31"/>
  <c r="H22" i="31" s="1"/>
  <c r="B23" i="31"/>
  <c r="C22" i="31"/>
  <c r="M22" i="31" s="1"/>
  <c r="J21" i="31"/>
  <c r="K21" i="31"/>
  <c r="O21" i="31" s="1"/>
  <c r="P21" i="31"/>
  <c r="P21" i="30"/>
  <c r="G22" i="30"/>
  <c r="I22" i="30" s="1"/>
  <c r="L22" i="30" s="1"/>
  <c r="F22" i="30"/>
  <c r="H22" i="30" s="1"/>
  <c r="C22" i="30"/>
  <c r="M22" i="30" s="1"/>
  <c r="B23" i="30"/>
  <c r="J21" i="30"/>
  <c r="K21" i="30"/>
  <c r="O21" i="30" s="1"/>
  <c r="Q20" i="29"/>
  <c r="B9" i="34" s="1"/>
  <c r="N20" i="29"/>
  <c r="P21" i="29"/>
  <c r="B23" i="29"/>
  <c r="F22" i="29"/>
  <c r="H22" i="29" s="1"/>
  <c r="G22" i="29"/>
  <c r="I22" i="29" s="1"/>
  <c r="L22" i="29" s="1"/>
  <c r="C22" i="29"/>
  <c r="M22" i="29" s="1"/>
  <c r="J21" i="29"/>
  <c r="K21" i="29"/>
  <c r="O21" i="29" s="1"/>
  <c r="Q21" i="24"/>
  <c r="C10" i="34" s="1"/>
  <c r="N21" i="24"/>
  <c r="F23" i="24"/>
  <c r="H23" i="24" s="1"/>
  <c r="K23" i="24" s="1"/>
  <c r="C23" i="24"/>
  <c r="M23" i="24" s="1"/>
  <c r="B24" i="24"/>
  <c r="G24" i="24" s="1"/>
  <c r="I23" i="24"/>
  <c r="L23" i="24" s="1"/>
  <c r="P22" i="24"/>
  <c r="O22" i="24"/>
  <c r="J22" i="24"/>
  <c r="Q23" i="33" l="1"/>
  <c r="P24" i="33"/>
  <c r="J24" i="33"/>
  <c r="K24" i="33"/>
  <c r="O24" i="33" s="1"/>
  <c r="C25" i="33"/>
  <c r="M25" i="33" s="1"/>
  <c r="B26" i="33"/>
  <c r="F25" i="33"/>
  <c r="H25" i="33" s="1"/>
  <c r="G25" i="33"/>
  <c r="I25" i="33" s="1"/>
  <c r="L25" i="33" s="1"/>
  <c r="N21" i="32"/>
  <c r="Q21" i="32"/>
  <c r="P22" i="32"/>
  <c r="K22" i="32"/>
  <c r="O22" i="32" s="1"/>
  <c r="J22" i="32"/>
  <c r="G23" i="32"/>
  <c r="I23" i="32" s="1"/>
  <c r="L23" i="32" s="1"/>
  <c r="F23" i="32"/>
  <c r="H23" i="32" s="1"/>
  <c r="B24" i="32"/>
  <c r="C23" i="32"/>
  <c r="M23" i="32" s="1"/>
  <c r="N21" i="31"/>
  <c r="Q21" i="31"/>
  <c r="E10" i="34" s="1"/>
  <c r="P22" i="31"/>
  <c r="C23" i="31"/>
  <c r="M23" i="31" s="1"/>
  <c r="B24" i="31"/>
  <c r="G23" i="31"/>
  <c r="I23" i="31" s="1"/>
  <c r="L23" i="31" s="1"/>
  <c r="F23" i="31"/>
  <c r="H23" i="31" s="1"/>
  <c r="K22" i="31"/>
  <c r="O22" i="31" s="1"/>
  <c r="J22" i="31"/>
  <c r="P22" i="30"/>
  <c r="Q21" i="30"/>
  <c r="D10" i="34" s="1"/>
  <c r="B24" i="30"/>
  <c r="F23" i="30"/>
  <c r="H23" i="30" s="1"/>
  <c r="C23" i="30"/>
  <c r="M23" i="30" s="1"/>
  <c r="G23" i="30"/>
  <c r="I23" i="30" s="1"/>
  <c r="L23" i="30" s="1"/>
  <c r="J22" i="30"/>
  <c r="K22" i="30"/>
  <c r="O22" i="30" s="1"/>
  <c r="N21" i="30"/>
  <c r="P22" i="29"/>
  <c r="J22" i="29"/>
  <c r="K22" i="29"/>
  <c r="O22" i="29" s="1"/>
  <c r="B24" i="29"/>
  <c r="F23" i="29"/>
  <c r="H23" i="29" s="1"/>
  <c r="G23" i="29"/>
  <c r="I23" i="29" s="1"/>
  <c r="L23" i="29" s="1"/>
  <c r="C23" i="29"/>
  <c r="M23" i="29" s="1"/>
  <c r="Q21" i="29"/>
  <c r="B10" i="34" s="1"/>
  <c r="N21" i="29"/>
  <c r="F24" i="24"/>
  <c r="H24" i="24" s="1"/>
  <c r="K24" i="24" s="1"/>
  <c r="C24" i="24"/>
  <c r="M24" i="24" s="1"/>
  <c r="B25" i="24"/>
  <c r="G25" i="24" s="1"/>
  <c r="I24" i="24"/>
  <c r="L24" i="24" s="1"/>
  <c r="O23" i="24"/>
  <c r="J23" i="24"/>
  <c r="Q22" i="24"/>
  <c r="C11" i="34" s="1"/>
  <c r="P23" i="24"/>
  <c r="N22" i="24"/>
  <c r="P25" i="33" l="1"/>
  <c r="J25" i="33"/>
  <c r="K25" i="33"/>
  <c r="O25" i="33" s="1"/>
  <c r="G26" i="33"/>
  <c r="I26" i="33" s="1"/>
  <c r="L26" i="33" s="1"/>
  <c r="B27" i="33"/>
  <c r="F26" i="33"/>
  <c r="H26" i="33" s="1"/>
  <c r="C26" i="33"/>
  <c r="M26" i="33" s="1"/>
  <c r="N24" i="33"/>
  <c r="Q24" i="33"/>
  <c r="P23" i="32"/>
  <c r="G24" i="32"/>
  <c r="I24" i="32" s="1"/>
  <c r="L24" i="32" s="1"/>
  <c r="B25" i="32"/>
  <c r="F24" i="32"/>
  <c r="H24" i="32" s="1"/>
  <c r="C24" i="32"/>
  <c r="M24" i="32" s="1"/>
  <c r="K23" i="32"/>
  <c r="O23" i="32" s="1"/>
  <c r="J23" i="32"/>
  <c r="N22" i="32"/>
  <c r="Q22" i="32"/>
  <c r="G24" i="31"/>
  <c r="I24" i="31" s="1"/>
  <c r="L24" i="31" s="1"/>
  <c r="C24" i="31"/>
  <c r="M24" i="31" s="1"/>
  <c r="B25" i="31"/>
  <c r="F24" i="31"/>
  <c r="H24" i="31" s="1"/>
  <c r="J23" i="31"/>
  <c r="K23" i="31"/>
  <c r="O23" i="31" s="1"/>
  <c r="P23" i="31"/>
  <c r="N22" i="31"/>
  <c r="Q22" i="31"/>
  <c r="E11" i="34" s="1"/>
  <c r="Q22" i="30"/>
  <c r="D11" i="34" s="1"/>
  <c r="P23" i="30"/>
  <c r="J23" i="30"/>
  <c r="K23" i="30"/>
  <c r="O23" i="30" s="1"/>
  <c r="C24" i="30"/>
  <c r="M24" i="30" s="1"/>
  <c r="B25" i="30"/>
  <c r="G24" i="30"/>
  <c r="I24" i="30" s="1"/>
  <c r="L24" i="30" s="1"/>
  <c r="F24" i="30"/>
  <c r="H24" i="30" s="1"/>
  <c r="N22" i="30"/>
  <c r="G24" i="29"/>
  <c r="I24" i="29" s="1"/>
  <c r="L24" i="29" s="1"/>
  <c r="F24" i="29"/>
  <c r="H24" i="29" s="1"/>
  <c r="B25" i="29"/>
  <c r="C24" i="29"/>
  <c r="M24" i="29" s="1"/>
  <c r="P23" i="29"/>
  <c r="J23" i="29"/>
  <c r="K23" i="29"/>
  <c r="O23" i="29" s="1"/>
  <c r="Q22" i="29"/>
  <c r="B11" i="34" s="1"/>
  <c r="N22" i="29"/>
  <c r="P24" i="24"/>
  <c r="Q23" i="24"/>
  <c r="C12" i="34" s="1"/>
  <c r="O24" i="24"/>
  <c r="J24" i="24"/>
  <c r="N23" i="24"/>
  <c r="F25" i="24"/>
  <c r="H25" i="24" s="1"/>
  <c r="K25" i="24" s="1"/>
  <c r="I25" i="24"/>
  <c r="L25" i="24" s="1"/>
  <c r="C25" i="24"/>
  <c r="M25" i="24" s="1"/>
  <c r="B26" i="24"/>
  <c r="G26" i="24" s="1"/>
  <c r="P26" i="33" l="1"/>
  <c r="G27" i="33"/>
  <c r="I27" i="33" s="1"/>
  <c r="L27" i="33" s="1"/>
  <c r="B28" i="33"/>
  <c r="F27" i="33"/>
  <c r="H27" i="33" s="1"/>
  <c r="C27" i="33"/>
  <c r="M27" i="33" s="1"/>
  <c r="J26" i="33"/>
  <c r="K26" i="33"/>
  <c r="O26" i="33" s="1"/>
  <c r="N25" i="33"/>
  <c r="Q25" i="33"/>
  <c r="P24" i="32"/>
  <c r="J24" i="32"/>
  <c r="K24" i="32"/>
  <c r="O24" i="32" s="1"/>
  <c r="B26" i="32"/>
  <c r="F25" i="32"/>
  <c r="H25" i="32" s="1"/>
  <c r="C25" i="32"/>
  <c r="M25" i="32" s="1"/>
  <c r="G25" i="32"/>
  <c r="I25" i="32" s="1"/>
  <c r="L25" i="32" s="1"/>
  <c r="Q23" i="32"/>
  <c r="N23" i="32"/>
  <c r="N23" i="31"/>
  <c r="Q23" i="31"/>
  <c r="E12" i="34" s="1"/>
  <c r="P24" i="31"/>
  <c r="J24" i="31"/>
  <c r="K24" i="31"/>
  <c r="O24" i="31" s="1"/>
  <c r="G25" i="31"/>
  <c r="I25" i="31" s="1"/>
  <c r="L25" i="31" s="1"/>
  <c r="C25" i="31"/>
  <c r="M25" i="31" s="1"/>
  <c r="B26" i="31"/>
  <c r="F25" i="31"/>
  <c r="H25" i="31" s="1"/>
  <c r="K24" i="30"/>
  <c r="O24" i="30" s="1"/>
  <c r="J24" i="30"/>
  <c r="F25" i="30"/>
  <c r="H25" i="30" s="1"/>
  <c r="B26" i="30"/>
  <c r="G25" i="30"/>
  <c r="I25" i="30" s="1"/>
  <c r="L25" i="30" s="1"/>
  <c r="C25" i="30"/>
  <c r="M25" i="30" s="1"/>
  <c r="N23" i="30"/>
  <c r="P24" i="30"/>
  <c r="Q23" i="30"/>
  <c r="D12" i="34" s="1"/>
  <c r="N23" i="29"/>
  <c r="J24" i="29"/>
  <c r="K24" i="29"/>
  <c r="O24" i="29" s="1"/>
  <c r="P24" i="29"/>
  <c r="Q23" i="29"/>
  <c r="B12" i="34" s="1"/>
  <c r="B26" i="29"/>
  <c r="F25" i="29"/>
  <c r="H25" i="29" s="1"/>
  <c r="G25" i="29"/>
  <c r="I25" i="29" s="1"/>
  <c r="L25" i="29" s="1"/>
  <c r="C25" i="29"/>
  <c r="M25" i="29" s="1"/>
  <c r="N24" i="24"/>
  <c r="Q24" i="24"/>
  <c r="C13" i="34" s="1"/>
  <c r="P25" i="24"/>
  <c r="B27" i="24"/>
  <c r="G27" i="24" s="1"/>
  <c r="F26" i="24"/>
  <c r="H26" i="24" s="1"/>
  <c r="K26" i="24" s="1"/>
  <c r="C26" i="24"/>
  <c r="M26" i="24" s="1"/>
  <c r="I26" i="24"/>
  <c r="L26" i="24" s="1"/>
  <c r="O25" i="24"/>
  <c r="J25" i="24"/>
  <c r="J27" i="33" l="1"/>
  <c r="K27" i="33"/>
  <c r="O27" i="33" s="1"/>
  <c r="N26" i="33"/>
  <c r="P27" i="33"/>
  <c r="C28" i="33"/>
  <c r="M28" i="33" s="1"/>
  <c r="B29" i="33"/>
  <c r="F28" i="33"/>
  <c r="H28" i="33" s="1"/>
  <c r="G28" i="33"/>
  <c r="I28" i="33" s="1"/>
  <c r="L28" i="33" s="1"/>
  <c r="Q26" i="33"/>
  <c r="F26" i="32"/>
  <c r="H26" i="32" s="1"/>
  <c r="C26" i="32"/>
  <c r="M26" i="32" s="1"/>
  <c r="B27" i="32"/>
  <c r="G26" i="32"/>
  <c r="I26" i="32" s="1"/>
  <c r="L26" i="32" s="1"/>
  <c r="P25" i="32"/>
  <c r="N24" i="32"/>
  <c r="J25" i="32"/>
  <c r="K25" i="32"/>
  <c r="O25" i="32" s="1"/>
  <c r="Q24" i="32"/>
  <c r="N24" i="30"/>
  <c r="Q24" i="30"/>
  <c r="D13" i="34" s="1"/>
  <c r="P25" i="31"/>
  <c r="J25" i="31"/>
  <c r="K25" i="31"/>
  <c r="O25" i="31" s="1"/>
  <c r="C26" i="31"/>
  <c r="M26" i="31" s="1"/>
  <c r="G26" i="31"/>
  <c r="I26" i="31" s="1"/>
  <c r="L26" i="31" s="1"/>
  <c r="B27" i="31"/>
  <c r="F26" i="31"/>
  <c r="H26" i="31" s="1"/>
  <c r="Q24" i="31"/>
  <c r="E13" i="34" s="1"/>
  <c r="N24" i="31"/>
  <c r="P25" i="30"/>
  <c r="B27" i="30"/>
  <c r="F26" i="30"/>
  <c r="H26" i="30" s="1"/>
  <c r="C26" i="30"/>
  <c r="M26" i="30" s="1"/>
  <c r="G26" i="30"/>
  <c r="I26" i="30" s="1"/>
  <c r="L26" i="30" s="1"/>
  <c r="J25" i="30"/>
  <c r="K25" i="30"/>
  <c r="O25" i="30" s="1"/>
  <c r="Q24" i="29"/>
  <c r="B13" i="34" s="1"/>
  <c r="N24" i="29"/>
  <c r="P25" i="29"/>
  <c r="J25" i="29"/>
  <c r="K25" i="29"/>
  <c r="O25" i="29" s="1"/>
  <c r="B27" i="29"/>
  <c r="F26" i="29"/>
  <c r="H26" i="29" s="1"/>
  <c r="G26" i="29"/>
  <c r="I26" i="29" s="1"/>
  <c r="L26" i="29" s="1"/>
  <c r="C26" i="29"/>
  <c r="M26" i="29" s="1"/>
  <c r="N25" i="24"/>
  <c r="Q25" i="24"/>
  <c r="C14" i="34" s="1"/>
  <c r="P26" i="24"/>
  <c r="O26" i="24"/>
  <c r="J26" i="24"/>
  <c r="B28" i="24"/>
  <c r="G28" i="24" s="1"/>
  <c r="I27" i="24"/>
  <c r="L27" i="24" s="1"/>
  <c r="F27" i="24"/>
  <c r="H27" i="24" s="1"/>
  <c r="K27" i="24" s="1"/>
  <c r="C27" i="24"/>
  <c r="M27" i="24" s="1"/>
  <c r="N27" i="33" l="1"/>
  <c r="Q27" i="33"/>
  <c r="G29" i="33"/>
  <c r="I29" i="33" s="1"/>
  <c r="L29" i="33" s="1"/>
  <c r="B30" i="33"/>
  <c r="F29" i="33"/>
  <c r="H29" i="33" s="1"/>
  <c r="C29" i="33"/>
  <c r="M29" i="33" s="1"/>
  <c r="J28" i="33"/>
  <c r="K28" i="33"/>
  <c r="O28" i="33" s="1"/>
  <c r="P28" i="33"/>
  <c r="N28" i="33"/>
  <c r="K26" i="32"/>
  <c r="O26" i="32" s="1"/>
  <c r="J26" i="32"/>
  <c r="Q25" i="32"/>
  <c r="N25" i="32"/>
  <c r="G27" i="32"/>
  <c r="I27" i="32" s="1"/>
  <c r="L27" i="32" s="1"/>
  <c r="B28" i="32"/>
  <c r="F27" i="32"/>
  <c r="H27" i="32" s="1"/>
  <c r="C27" i="32"/>
  <c r="M27" i="32" s="1"/>
  <c r="P26" i="32"/>
  <c r="K26" i="31"/>
  <c r="O26" i="31" s="1"/>
  <c r="J26" i="31"/>
  <c r="N25" i="31"/>
  <c r="B28" i="31"/>
  <c r="G27" i="31"/>
  <c r="I27" i="31" s="1"/>
  <c r="L27" i="31" s="1"/>
  <c r="F27" i="31"/>
  <c r="H27" i="31" s="1"/>
  <c r="C27" i="31"/>
  <c r="M27" i="31" s="1"/>
  <c r="P26" i="31"/>
  <c r="Q25" i="31"/>
  <c r="E14" i="34" s="1"/>
  <c r="P26" i="30"/>
  <c r="J26" i="30"/>
  <c r="K26" i="30"/>
  <c r="O26" i="30" s="1"/>
  <c r="G27" i="30"/>
  <c r="I27" i="30" s="1"/>
  <c r="L27" i="30" s="1"/>
  <c r="F27" i="30"/>
  <c r="H27" i="30" s="1"/>
  <c r="B28" i="30"/>
  <c r="C27" i="30"/>
  <c r="M27" i="30" s="1"/>
  <c r="N25" i="30"/>
  <c r="Q25" i="30"/>
  <c r="D14" i="34" s="1"/>
  <c r="P26" i="29"/>
  <c r="J26" i="29"/>
  <c r="K26" i="29"/>
  <c r="O26" i="29" s="1"/>
  <c r="Q25" i="29"/>
  <c r="B14" i="34" s="1"/>
  <c r="G27" i="29"/>
  <c r="I27" i="29" s="1"/>
  <c r="L27" i="29" s="1"/>
  <c r="F27" i="29"/>
  <c r="H27" i="29" s="1"/>
  <c r="B28" i="29"/>
  <c r="C27" i="29"/>
  <c r="M27" i="29" s="1"/>
  <c r="N25" i="29"/>
  <c r="N26" i="24"/>
  <c r="Q26" i="24"/>
  <c r="C15" i="34" s="1"/>
  <c r="P27" i="24"/>
  <c r="J27" i="24"/>
  <c r="O27" i="24"/>
  <c r="B29" i="24"/>
  <c r="G29" i="24" s="1"/>
  <c r="I28" i="24"/>
  <c r="L28" i="24" s="1"/>
  <c r="F28" i="24"/>
  <c r="H28" i="24" s="1"/>
  <c r="K28" i="24" s="1"/>
  <c r="C28" i="24"/>
  <c r="M28" i="24" s="1"/>
  <c r="Q28" i="33" l="1"/>
  <c r="P29" i="33"/>
  <c r="G30" i="33"/>
  <c r="I30" i="33" s="1"/>
  <c r="L30" i="33" s="1"/>
  <c r="B31" i="33"/>
  <c r="F30" i="33"/>
  <c r="H30" i="33" s="1"/>
  <c r="C30" i="33"/>
  <c r="M30" i="33" s="1"/>
  <c r="J29" i="33"/>
  <c r="K29" i="33"/>
  <c r="O29" i="33" s="1"/>
  <c r="Q26" i="32"/>
  <c r="N26" i="32"/>
  <c r="P27" i="32"/>
  <c r="B29" i="32"/>
  <c r="F28" i="32"/>
  <c r="H28" i="32" s="1"/>
  <c r="C28" i="32"/>
  <c r="M28" i="32" s="1"/>
  <c r="G28" i="32"/>
  <c r="I28" i="32" s="1"/>
  <c r="L28" i="32" s="1"/>
  <c r="J27" i="32"/>
  <c r="K27" i="32"/>
  <c r="O27" i="32" s="1"/>
  <c r="Q26" i="31"/>
  <c r="E15" i="34" s="1"/>
  <c r="N26" i="31"/>
  <c r="G28" i="31"/>
  <c r="I28" i="31" s="1"/>
  <c r="L28" i="31" s="1"/>
  <c r="F28" i="31"/>
  <c r="H28" i="31" s="1"/>
  <c r="B29" i="31"/>
  <c r="C28" i="31"/>
  <c r="M28" i="31" s="1"/>
  <c r="P27" i="31"/>
  <c r="J27" i="31"/>
  <c r="K27" i="31"/>
  <c r="O27" i="31" s="1"/>
  <c r="P27" i="30"/>
  <c r="C28" i="30"/>
  <c r="M28" i="30" s="1"/>
  <c r="B29" i="30"/>
  <c r="F28" i="30"/>
  <c r="H28" i="30" s="1"/>
  <c r="G28" i="30"/>
  <c r="I28" i="30" s="1"/>
  <c r="L28" i="30" s="1"/>
  <c r="J27" i="30"/>
  <c r="K27" i="30"/>
  <c r="O27" i="30" s="1"/>
  <c r="N26" i="30"/>
  <c r="Q26" i="30"/>
  <c r="D15" i="34" s="1"/>
  <c r="J27" i="29"/>
  <c r="K27" i="29"/>
  <c r="O27" i="29" s="1"/>
  <c r="Q26" i="29"/>
  <c r="B15" i="34" s="1"/>
  <c r="P27" i="29"/>
  <c r="B29" i="29"/>
  <c r="F28" i="29"/>
  <c r="H28" i="29" s="1"/>
  <c r="G28" i="29"/>
  <c r="I28" i="29" s="1"/>
  <c r="L28" i="29" s="1"/>
  <c r="C28" i="29"/>
  <c r="M28" i="29" s="1"/>
  <c r="N26" i="29"/>
  <c r="N27" i="24"/>
  <c r="Q27" i="24"/>
  <c r="C16" i="34" s="1"/>
  <c r="P28" i="24"/>
  <c r="J28" i="24"/>
  <c r="O28" i="24"/>
  <c r="B30" i="24"/>
  <c r="G30" i="24" s="1"/>
  <c r="I29" i="24"/>
  <c r="L29" i="24" s="1"/>
  <c r="F29" i="24"/>
  <c r="H29" i="24" s="1"/>
  <c r="K29" i="24" s="1"/>
  <c r="C29" i="24"/>
  <c r="M29" i="24" s="1"/>
  <c r="J30" i="33" l="1"/>
  <c r="K30" i="33"/>
  <c r="O30" i="33" s="1"/>
  <c r="C31" i="33"/>
  <c r="M31" i="33" s="1"/>
  <c r="B32" i="33"/>
  <c r="F31" i="33"/>
  <c r="H31" i="33" s="1"/>
  <c r="G31" i="33"/>
  <c r="I31" i="33" s="1"/>
  <c r="L31" i="33" s="1"/>
  <c r="N29" i="33"/>
  <c r="P30" i="33"/>
  <c r="Q29" i="33"/>
  <c r="P28" i="32"/>
  <c r="B30" i="32"/>
  <c r="F29" i="32"/>
  <c r="H29" i="32" s="1"/>
  <c r="G29" i="32"/>
  <c r="I29" i="32" s="1"/>
  <c r="L29" i="32" s="1"/>
  <c r="C29" i="32"/>
  <c r="M29" i="32" s="1"/>
  <c r="Q27" i="32"/>
  <c r="J28" i="32"/>
  <c r="K28" i="32"/>
  <c r="O28" i="32" s="1"/>
  <c r="N27" i="32"/>
  <c r="Q27" i="31"/>
  <c r="E16" i="34" s="1"/>
  <c r="N27" i="31"/>
  <c r="P28" i="31"/>
  <c r="C29" i="31"/>
  <c r="M29" i="31" s="1"/>
  <c r="B30" i="31"/>
  <c r="F29" i="31"/>
  <c r="H29" i="31" s="1"/>
  <c r="G29" i="31"/>
  <c r="I29" i="31" s="1"/>
  <c r="L29" i="31" s="1"/>
  <c r="J28" i="31"/>
  <c r="K28" i="31"/>
  <c r="O28" i="31" s="1"/>
  <c r="J28" i="30"/>
  <c r="K28" i="30"/>
  <c r="O28" i="30" s="1"/>
  <c r="B30" i="30"/>
  <c r="F29" i="30"/>
  <c r="H29" i="30" s="1"/>
  <c r="G29" i="30"/>
  <c r="I29" i="30" s="1"/>
  <c r="L29" i="30" s="1"/>
  <c r="C29" i="30"/>
  <c r="M29" i="30" s="1"/>
  <c r="P28" i="30"/>
  <c r="Q27" i="30"/>
  <c r="D16" i="34" s="1"/>
  <c r="N27" i="30"/>
  <c r="Q27" i="29"/>
  <c r="B16" i="34" s="1"/>
  <c r="N27" i="29"/>
  <c r="P28" i="29"/>
  <c r="J28" i="29"/>
  <c r="K28" i="29"/>
  <c r="O28" i="29" s="1"/>
  <c r="F29" i="29"/>
  <c r="H29" i="29" s="1"/>
  <c r="G29" i="29"/>
  <c r="I29" i="29" s="1"/>
  <c r="L29" i="29" s="1"/>
  <c r="C29" i="29"/>
  <c r="M29" i="29" s="1"/>
  <c r="B30" i="29"/>
  <c r="N28" i="24"/>
  <c r="Q28" i="24"/>
  <c r="C17" i="34" s="1"/>
  <c r="P29" i="24"/>
  <c r="B31" i="24"/>
  <c r="G31" i="24" s="1"/>
  <c r="I30" i="24"/>
  <c r="L30" i="24" s="1"/>
  <c r="F30" i="24"/>
  <c r="H30" i="24" s="1"/>
  <c r="K30" i="24" s="1"/>
  <c r="C30" i="24"/>
  <c r="M30" i="24" s="1"/>
  <c r="J29" i="24"/>
  <c r="O29" i="24"/>
  <c r="N30" i="33" l="1"/>
  <c r="Q30" i="33"/>
  <c r="J31" i="33"/>
  <c r="K31" i="33"/>
  <c r="O31" i="33" s="1"/>
  <c r="G32" i="33"/>
  <c r="I32" i="33" s="1"/>
  <c r="L32" i="33" s="1"/>
  <c r="B33" i="33"/>
  <c r="F32" i="33"/>
  <c r="H32" i="33" s="1"/>
  <c r="C32" i="33"/>
  <c r="M32" i="33" s="1"/>
  <c r="P31" i="33"/>
  <c r="P29" i="32"/>
  <c r="Q28" i="32"/>
  <c r="K29" i="32"/>
  <c r="O29" i="32" s="1"/>
  <c r="J29" i="32"/>
  <c r="G30" i="32"/>
  <c r="I30" i="32" s="1"/>
  <c r="L30" i="32" s="1"/>
  <c r="B31" i="32"/>
  <c r="F30" i="32"/>
  <c r="H30" i="32" s="1"/>
  <c r="C30" i="32"/>
  <c r="M30" i="32" s="1"/>
  <c r="N28" i="32"/>
  <c r="N28" i="30"/>
  <c r="Q28" i="30"/>
  <c r="D17" i="34" s="1"/>
  <c r="N28" i="31"/>
  <c r="Q28" i="31"/>
  <c r="E17" i="34" s="1"/>
  <c r="P29" i="31"/>
  <c r="J29" i="31"/>
  <c r="K29" i="31"/>
  <c r="O29" i="31" s="1"/>
  <c r="B31" i="31"/>
  <c r="G30" i="31"/>
  <c r="I30" i="31" s="1"/>
  <c r="L30" i="31" s="1"/>
  <c r="F30" i="31"/>
  <c r="H30" i="31" s="1"/>
  <c r="C30" i="31"/>
  <c r="M30" i="31" s="1"/>
  <c r="P29" i="30"/>
  <c r="K29" i="30"/>
  <c r="O29" i="30" s="1"/>
  <c r="J29" i="30"/>
  <c r="B31" i="30"/>
  <c r="F30" i="30"/>
  <c r="H30" i="30" s="1"/>
  <c r="G30" i="30"/>
  <c r="I30" i="30" s="1"/>
  <c r="L30" i="30" s="1"/>
  <c r="C30" i="30"/>
  <c r="M30" i="30" s="1"/>
  <c r="B31" i="29"/>
  <c r="C30" i="29"/>
  <c r="M30" i="29" s="1"/>
  <c r="F30" i="29"/>
  <c r="H30" i="29" s="1"/>
  <c r="G30" i="29"/>
  <c r="I30" i="29" s="1"/>
  <c r="L30" i="29" s="1"/>
  <c r="Q28" i="29"/>
  <c r="B17" i="34" s="1"/>
  <c r="P29" i="29"/>
  <c r="J29" i="29"/>
  <c r="K29" i="29"/>
  <c r="O29" i="29" s="1"/>
  <c r="N28" i="29"/>
  <c r="N29" i="24"/>
  <c r="Q29" i="24"/>
  <c r="C18" i="34" s="1"/>
  <c r="P30" i="24"/>
  <c r="J30" i="24"/>
  <c r="O30" i="24"/>
  <c r="B32" i="24"/>
  <c r="G32" i="24" s="1"/>
  <c r="I31" i="24"/>
  <c r="L31" i="24" s="1"/>
  <c r="F31" i="24"/>
  <c r="H31" i="24" s="1"/>
  <c r="K31" i="24" s="1"/>
  <c r="C31" i="24"/>
  <c r="M31" i="24" s="1"/>
  <c r="Q31" i="33" l="1"/>
  <c r="N31" i="33"/>
  <c r="J32" i="33"/>
  <c r="K32" i="33"/>
  <c r="O32" i="33" s="1"/>
  <c r="G33" i="33"/>
  <c r="I33" i="33" s="1"/>
  <c r="L33" i="33" s="1"/>
  <c r="B34" i="33"/>
  <c r="F33" i="33"/>
  <c r="H33" i="33" s="1"/>
  <c r="C33" i="33"/>
  <c r="M33" i="33" s="1"/>
  <c r="P32" i="33"/>
  <c r="P30" i="32"/>
  <c r="J30" i="32"/>
  <c r="K30" i="32"/>
  <c r="O30" i="32" s="1"/>
  <c r="B32" i="32"/>
  <c r="F31" i="32"/>
  <c r="H31" i="32" s="1"/>
  <c r="C31" i="32"/>
  <c r="M31" i="32" s="1"/>
  <c r="G31" i="32"/>
  <c r="I31" i="32" s="1"/>
  <c r="L31" i="32" s="1"/>
  <c r="Q29" i="32"/>
  <c r="N29" i="32"/>
  <c r="P30" i="31"/>
  <c r="J30" i="31"/>
  <c r="K30" i="31"/>
  <c r="O30" i="31" s="1"/>
  <c r="G31" i="31"/>
  <c r="I31" i="31" s="1"/>
  <c r="L31" i="31" s="1"/>
  <c r="C31" i="31"/>
  <c r="M31" i="31" s="1"/>
  <c r="F31" i="31"/>
  <c r="H31" i="31" s="1"/>
  <c r="B32" i="31"/>
  <c r="N29" i="31"/>
  <c r="Q29" i="31"/>
  <c r="E18" i="34" s="1"/>
  <c r="P30" i="30"/>
  <c r="J30" i="30"/>
  <c r="K30" i="30"/>
  <c r="O30" i="30" s="1"/>
  <c r="G31" i="30"/>
  <c r="I31" i="30" s="1"/>
  <c r="L31" i="30" s="1"/>
  <c r="C31" i="30"/>
  <c r="M31" i="30" s="1"/>
  <c r="B32" i="30"/>
  <c r="F31" i="30"/>
  <c r="H31" i="30" s="1"/>
  <c r="Q29" i="30"/>
  <c r="D18" i="34" s="1"/>
  <c r="N29" i="30"/>
  <c r="Q29" i="29"/>
  <c r="B18" i="34" s="1"/>
  <c r="J30" i="29"/>
  <c r="K30" i="29"/>
  <c r="O30" i="29" s="1"/>
  <c r="N29" i="29"/>
  <c r="P30" i="29"/>
  <c r="Q30" i="29" s="1"/>
  <c r="B19" i="34" s="1"/>
  <c r="N30" i="29"/>
  <c r="C31" i="29"/>
  <c r="M31" i="29" s="1"/>
  <c r="B32" i="29"/>
  <c r="G31" i="29"/>
  <c r="I31" i="29" s="1"/>
  <c r="L31" i="29" s="1"/>
  <c r="F31" i="29"/>
  <c r="H31" i="29" s="1"/>
  <c r="N30" i="24"/>
  <c r="Q30" i="24"/>
  <c r="C19" i="34" s="1"/>
  <c r="P31" i="24"/>
  <c r="B33" i="24"/>
  <c r="G33" i="24" s="1"/>
  <c r="I32" i="24"/>
  <c r="L32" i="24" s="1"/>
  <c r="F32" i="24"/>
  <c r="H32" i="24" s="1"/>
  <c r="K32" i="24" s="1"/>
  <c r="C32" i="24"/>
  <c r="M32" i="24" s="1"/>
  <c r="J31" i="24"/>
  <c r="O31" i="24"/>
  <c r="N32" i="33" l="1"/>
  <c r="Q32" i="33"/>
  <c r="P33" i="33"/>
  <c r="J33" i="33"/>
  <c r="K33" i="33"/>
  <c r="O33" i="33" s="1"/>
  <c r="C34" i="33"/>
  <c r="M34" i="33" s="1"/>
  <c r="B35" i="33"/>
  <c r="F34" i="33"/>
  <c r="H34" i="33" s="1"/>
  <c r="G34" i="33"/>
  <c r="I34" i="33" s="1"/>
  <c r="L34" i="33" s="1"/>
  <c r="K31" i="32"/>
  <c r="O31" i="32" s="1"/>
  <c r="J31" i="32"/>
  <c r="P31" i="32"/>
  <c r="N30" i="32"/>
  <c r="F32" i="32"/>
  <c r="H32" i="32" s="1"/>
  <c r="C32" i="32"/>
  <c r="M32" i="32" s="1"/>
  <c r="B33" i="32"/>
  <c r="G32" i="32"/>
  <c r="I32" i="32" s="1"/>
  <c r="L32" i="32" s="1"/>
  <c r="Q30" i="32"/>
  <c r="C32" i="31"/>
  <c r="M32" i="31" s="1"/>
  <c r="B33" i="31"/>
  <c r="F32" i="31"/>
  <c r="H32" i="31" s="1"/>
  <c r="G32" i="31"/>
  <c r="I32" i="31" s="1"/>
  <c r="L32" i="31" s="1"/>
  <c r="J31" i="31"/>
  <c r="K31" i="31"/>
  <c r="O31" i="31" s="1"/>
  <c r="P31" i="31"/>
  <c r="Q30" i="31"/>
  <c r="E19" i="34" s="1"/>
  <c r="N30" i="31"/>
  <c r="P31" i="30"/>
  <c r="J31" i="30"/>
  <c r="K31" i="30"/>
  <c r="O31" i="30" s="1"/>
  <c r="C32" i="30"/>
  <c r="M32" i="30" s="1"/>
  <c r="G32" i="30"/>
  <c r="I32" i="30" s="1"/>
  <c r="L32" i="30" s="1"/>
  <c r="F32" i="30"/>
  <c r="H32" i="30" s="1"/>
  <c r="B33" i="30"/>
  <c r="Q30" i="30"/>
  <c r="D19" i="34" s="1"/>
  <c r="N30" i="30"/>
  <c r="P31" i="29"/>
  <c r="J31" i="29"/>
  <c r="K31" i="29"/>
  <c r="O31" i="29" s="1"/>
  <c r="C32" i="29"/>
  <c r="M32" i="29" s="1"/>
  <c r="B33" i="29"/>
  <c r="G32" i="29"/>
  <c r="I32" i="29" s="1"/>
  <c r="L32" i="29" s="1"/>
  <c r="F32" i="29"/>
  <c r="H32" i="29" s="1"/>
  <c r="Q31" i="24"/>
  <c r="C20" i="34" s="1"/>
  <c r="N31" i="24"/>
  <c r="P32" i="24"/>
  <c r="J32" i="24"/>
  <c r="O32" i="24"/>
  <c r="B34" i="24"/>
  <c r="G34" i="24" s="1"/>
  <c r="I33" i="24"/>
  <c r="L33" i="24" s="1"/>
  <c r="F33" i="24"/>
  <c r="H33" i="24" s="1"/>
  <c r="K33" i="24" s="1"/>
  <c r="C33" i="24"/>
  <c r="M33" i="24" s="1"/>
  <c r="Q33" i="33" l="1"/>
  <c r="P34" i="33"/>
  <c r="J34" i="33"/>
  <c r="K34" i="33"/>
  <c r="O34" i="33" s="1"/>
  <c r="G35" i="33"/>
  <c r="I35" i="33" s="1"/>
  <c r="L35" i="33" s="1"/>
  <c r="B36" i="33"/>
  <c r="F35" i="33"/>
  <c r="H35" i="33" s="1"/>
  <c r="C35" i="33"/>
  <c r="M35" i="33" s="1"/>
  <c r="N33" i="33"/>
  <c r="K32" i="32"/>
  <c r="O32" i="32" s="1"/>
  <c r="J32" i="32"/>
  <c r="G33" i="32"/>
  <c r="I33" i="32" s="1"/>
  <c r="L33" i="32" s="1"/>
  <c r="B34" i="32"/>
  <c r="F33" i="32"/>
  <c r="H33" i="32" s="1"/>
  <c r="C33" i="32"/>
  <c r="M33" i="32" s="1"/>
  <c r="Q31" i="32"/>
  <c r="P32" i="32"/>
  <c r="N31" i="32"/>
  <c r="N31" i="31"/>
  <c r="Q31" i="31"/>
  <c r="E20" i="34" s="1"/>
  <c r="K32" i="31"/>
  <c r="O32" i="31" s="1"/>
  <c r="J32" i="31"/>
  <c r="F33" i="31"/>
  <c r="H33" i="31" s="1"/>
  <c r="C33" i="31"/>
  <c r="M33" i="31" s="1"/>
  <c r="B34" i="31"/>
  <c r="G33" i="31"/>
  <c r="I33" i="31" s="1"/>
  <c r="L33" i="31" s="1"/>
  <c r="P32" i="31"/>
  <c r="B34" i="30"/>
  <c r="F33" i="30"/>
  <c r="H33" i="30" s="1"/>
  <c r="C33" i="30"/>
  <c r="M33" i="30" s="1"/>
  <c r="G33" i="30"/>
  <c r="I33" i="30" s="1"/>
  <c r="L33" i="30" s="1"/>
  <c r="K32" i="30"/>
  <c r="O32" i="30" s="1"/>
  <c r="J32" i="30"/>
  <c r="N31" i="30"/>
  <c r="P32" i="30"/>
  <c r="Q31" i="30"/>
  <c r="D20" i="34" s="1"/>
  <c r="P32" i="29"/>
  <c r="N31" i="29"/>
  <c r="J32" i="29"/>
  <c r="K32" i="29"/>
  <c r="O32" i="29" s="1"/>
  <c r="G33" i="29"/>
  <c r="I33" i="29" s="1"/>
  <c r="L33" i="29" s="1"/>
  <c r="F33" i="29"/>
  <c r="H33" i="29" s="1"/>
  <c r="B34" i="29"/>
  <c r="C33" i="29"/>
  <c r="M33" i="29" s="1"/>
  <c r="Q31" i="29"/>
  <c r="B20" i="34" s="1"/>
  <c r="Q32" i="24"/>
  <c r="C21" i="34" s="1"/>
  <c r="P33" i="24"/>
  <c r="J33" i="24"/>
  <c r="O33" i="24"/>
  <c r="B35" i="24"/>
  <c r="G35" i="24" s="1"/>
  <c r="I34" i="24"/>
  <c r="L34" i="24" s="1"/>
  <c r="F34" i="24"/>
  <c r="H34" i="24" s="1"/>
  <c r="K34" i="24" s="1"/>
  <c r="C34" i="24"/>
  <c r="M34" i="24" s="1"/>
  <c r="N32" i="24"/>
  <c r="J35" i="33" l="1"/>
  <c r="K35" i="33"/>
  <c r="O35" i="33" s="1"/>
  <c r="P35" i="33"/>
  <c r="G36" i="33"/>
  <c r="I36" i="33" s="1"/>
  <c r="L36" i="33" s="1"/>
  <c r="B37" i="33"/>
  <c r="F36" i="33"/>
  <c r="H36" i="33" s="1"/>
  <c r="C36" i="33"/>
  <c r="M36" i="33" s="1"/>
  <c r="N34" i="33"/>
  <c r="Q34" i="33"/>
  <c r="P33" i="32"/>
  <c r="J33" i="32"/>
  <c r="K33" i="32"/>
  <c r="O33" i="32" s="1"/>
  <c r="B35" i="32"/>
  <c r="F34" i="32"/>
  <c r="H34" i="32" s="1"/>
  <c r="C34" i="32"/>
  <c r="M34" i="32" s="1"/>
  <c r="G34" i="32"/>
  <c r="I34" i="32" s="1"/>
  <c r="L34" i="32" s="1"/>
  <c r="N32" i="32"/>
  <c r="Q32" i="32"/>
  <c r="Q32" i="31"/>
  <c r="E21" i="34" s="1"/>
  <c r="N32" i="31"/>
  <c r="Q32" i="30"/>
  <c r="D21" i="34" s="1"/>
  <c r="N32" i="30"/>
  <c r="P33" i="31"/>
  <c r="G34" i="31"/>
  <c r="I34" i="31" s="1"/>
  <c r="L34" i="31" s="1"/>
  <c r="B35" i="31"/>
  <c r="C34" i="31"/>
  <c r="M34" i="31" s="1"/>
  <c r="F34" i="31"/>
  <c r="H34" i="31" s="1"/>
  <c r="J33" i="31"/>
  <c r="K33" i="31"/>
  <c r="O33" i="31" s="1"/>
  <c r="P33" i="30"/>
  <c r="J33" i="30"/>
  <c r="K33" i="30"/>
  <c r="O33" i="30" s="1"/>
  <c r="G34" i="30"/>
  <c r="I34" i="30" s="1"/>
  <c r="L34" i="30" s="1"/>
  <c r="B35" i="30"/>
  <c r="C34" i="30"/>
  <c r="M34" i="30" s="1"/>
  <c r="F34" i="30"/>
  <c r="H34" i="30" s="1"/>
  <c r="P33" i="29"/>
  <c r="F34" i="29"/>
  <c r="H34" i="29" s="1"/>
  <c r="C34" i="29"/>
  <c r="M34" i="29" s="1"/>
  <c r="G34" i="29"/>
  <c r="I34" i="29" s="1"/>
  <c r="L34" i="29" s="1"/>
  <c r="B35" i="29"/>
  <c r="K33" i="29"/>
  <c r="O33" i="29" s="1"/>
  <c r="J33" i="29"/>
  <c r="Q32" i="29"/>
  <c r="B21" i="34" s="1"/>
  <c r="N32" i="29"/>
  <c r="N33" i="24"/>
  <c r="Q33" i="24"/>
  <c r="C22" i="34" s="1"/>
  <c r="P34" i="24"/>
  <c r="J34" i="24"/>
  <c r="O34" i="24"/>
  <c r="B36" i="24"/>
  <c r="G36" i="24" s="1"/>
  <c r="I35" i="24"/>
  <c r="L35" i="24" s="1"/>
  <c r="F35" i="24"/>
  <c r="H35" i="24" s="1"/>
  <c r="K35" i="24" s="1"/>
  <c r="C35" i="24"/>
  <c r="M35" i="24" s="1"/>
  <c r="N35" i="33" l="1"/>
  <c r="Q35" i="33"/>
  <c r="P36" i="33"/>
  <c r="C37" i="33"/>
  <c r="M37" i="33" s="1"/>
  <c r="B38" i="33"/>
  <c r="F37" i="33"/>
  <c r="H37" i="33" s="1"/>
  <c r="G37" i="33"/>
  <c r="I37" i="33" s="1"/>
  <c r="L37" i="33" s="1"/>
  <c r="J36" i="33"/>
  <c r="K36" i="33"/>
  <c r="O36" i="33" s="1"/>
  <c r="N33" i="32"/>
  <c r="P34" i="32"/>
  <c r="J34" i="32"/>
  <c r="K34" i="32"/>
  <c r="O34" i="32" s="1"/>
  <c r="B36" i="32"/>
  <c r="F35" i="32"/>
  <c r="H35" i="32" s="1"/>
  <c r="G35" i="32"/>
  <c r="I35" i="32" s="1"/>
  <c r="L35" i="32" s="1"/>
  <c r="C35" i="32"/>
  <c r="M35" i="32" s="1"/>
  <c r="Q33" i="32"/>
  <c r="J34" i="31"/>
  <c r="K34" i="31"/>
  <c r="O34" i="31" s="1"/>
  <c r="P34" i="31"/>
  <c r="C35" i="31"/>
  <c r="M35" i="31" s="1"/>
  <c r="F35" i="31"/>
  <c r="H35" i="31" s="1"/>
  <c r="B36" i="31"/>
  <c r="G35" i="31"/>
  <c r="I35" i="31" s="1"/>
  <c r="L35" i="31" s="1"/>
  <c r="Q33" i="31"/>
  <c r="E22" i="34" s="1"/>
  <c r="N33" i="31"/>
  <c r="P34" i="30"/>
  <c r="C35" i="30"/>
  <c r="M35" i="30" s="1"/>
  <c r="F35" i="30"/>
  <c r="H35" i="30" s="1"/>
  <c r="B36" i="30"/>
  <c r="G35" i="30"/>
  <c r="I35" i="30" s="1"/>
  <c r="L35" i="30" s="1"/>
  <c r="N33" i="30"/>
  <c r="J34" i="30"/>
  <c r="K34" i="30"/>
  <c r="O34" i="30" s="1"/>
  <c r="Q33" i="30"/>
  <c r="D22" i="34" s="1"/>
  <c r="B36" i="29"/>
  <c r="C35" i="29"/>
  <c r="M35" i="29" s="1"/>
  <c r="G35" i="29"/>
  <c r="I35" i="29" s="1"/>
  <c r="L35" i="29" s="1"/>
  <c r="F35" i="29"/>
  <c r="H35" i="29" s="1"/>
  <c r="J34" i="29"/>
  <c r="K34" i="29"/>
  <c r="O34" i="29" s="1"/>
  <c r="N33" i="29"/>
  <c r="P34" i="29"/>
  <c r="Q34" i="29" s="1"/>
  <c r="B23" i="34" s="1"/>
  <c r="N34" i="29"/>
  <c r="Q33" i="29"/>
  <c r="B22" i="34" s="1"/>
  <c r="P35" i="24"/>
  <c r="B37" i="24"/>
  <c r="G37" i="24" s="1"/>
  <c r="I36" i="24"/>
  <c r="L36" i="24" s="1"/>
  <c r="F36" i="24"/>
  <c r="H36" i="24" s="1"/>
  <c r="K36" i="24" s="1"/>
  <c r="C36" i="24"/>
  <c r="M36" i="24" s="1"/>
  <c r="J35" i="24"/>
  <c r="O35" i="24"/>
  <c r="Q34" i="24"/>
  <c r="C23" i="34" s="1"/>
  <c r="N34" i="24"/>
  <c r="N34" i="31" l="1"/>
  <c r="J37" i="33"/>
  <c r="K37" i="33"/>
  <c r="O37" i="33" s="1"/>
  <c r="G38" i="33"/>
  <c r="I38" i="33" s="1"/>
  <c r="L38" i="33" s="1"/>
  <c r="B39" i="33"/>
  <c r="F38" i="33"/>
  <c r="H38" i="33" s="1"/>
  <c r="C38" i="33"/>
  <c r="M38" i="33" s="1"/>
  <c r="N36" i="33"/>
  <c r="P37" i="33"/>
  <c r="Q36" i="33"/>
  <c r="Q34" i="32"/>
  <c r="N34" i="32"/>
  <c r="P35" i="32"/>
  <c r="J35" i="32"/>
  <c r="K35" i="32"/>
  <c r="O35" i="32" s="1"/>
  <c r="G36" i="32"/>
  <c r="I36" i="32" s="1"/>
  <c r="L36" i="32" s="1"/>
  <c r="F36" i="32"/>
  <c r="H36" i="32" s="1"/>
  <c r="B37" i="32"/>
  <c r="C36" i="32"/>
  <c r="M36" i="32" s="1"/>
  <c r="Q34" i="31"/>
  <c r="E23" i="34" s="1"/>
  <c r="C36" i="31"/>
  <c r="M36" i="31" s="1"/>
  <c r="B37" i="31"/>
  <c r="F36" i="31"/>
  <c r="H36" i="31" s="1"/>
  <c r="G36" i="31"/>
  <c r="I36" i="31" s="1"/>
  <c r="L36" i="31" s="1"/>
  <c r="J35" i="31"/>
  <c r="K35" i="31"/>
  <c r="O35" i="31" s="1"/>
  <c r="P35" i="31"/>
  <c r="G36" i="30"/>
  <c r="I36" i="30" s="1"/>
  <c r="L36" i="30" s="1"/>
  <c r="F36" i="30"/>
  <c r="H36" i="30" s="1"/>
  <c r="C36" i="30"/>
  <c r="M36" i="30" s="1"/>
  <c r="B37" i="30"/>
  <c r="J35" i="30"/>
  <c r="K35" i="30"/>
  <c r="O35" i="30" s="1"/>
  <c r="P35" i="30"/>
  <c r="N34" i="30"/>
  <c r="Q34" i="30"/>
  <c r="D23" i="34" s="1"/>
  <c r="P35" i="29"/>
  <c r="J35" i="29"/>
  <c r="K35" i="29"/>
  <c r="O35" i="29" s="1"/>
  <c r="B37" i="29"/>
  <c r="C36" i="29"/>
  <c r="M36" i="29" s="1"/>
  <c r="F36" i="29"/>
  <c r="H36" i="29" s="1"/>
  <c r="G36" i="29"/>
  <c r="I36" i="29" s="1"/>
  <c r="L36" i="29" s="1"/>
  <c r="P36" i="24"/>
  <c r="J36" i="24"/>
  <c r="O36" i="24"/>
  <c r="B38" i="24"/>
  <c r="G38" i="24" s="1"/>
  <c r="I37" i="24"/>
  <c r="L37" i="24" s="1"/>
  <c r="F37" i="24"/>
  <c r="H37" i="24" s="1"/>
  <c r="K37" i="24" s="1"/>
  <c r="C37" i="24"/>
  <c r="M37" i="24" s="1"/>
  <c r="Q35" i="24"/>
  <c r="C24" i="34" s="1"/>
  <c r="N35" i="24"/>
  <c r="N37" i="33" l="1"/>
  <c r="Q37" i="33"/>
  <c r="P38" i="33"/>
  <c r="J38" i="33"/>
  <c r="K38" i="33"/>
  <c r="O38" i="33" s="1"/>
  <c r="G39" i="33"/>
  <c r="I39" i="33" s="1"/>
  <c r="L39" i="33" s="1"/>
  <c r="B40" i="33"/>
  <c r="F39" i="33"/>
  <c r="H39" i="33" s="1"/>
  <c r="C39" i="33"/>
  <c r="M39" i="33" s="1"/>
  <c r="J36" i="32"/>
  <c r="K36" i="32"/>
  <c r="O36" i="32" s="1"/>
  <c r="F37" i="32"/>
  <c r="H37" i="32" s="1"/>
  <c r="B38" i="32"/>
  <c r="C37" i="32"/>
  <c r="M37" i="32" s="1"/>
  <c r="G37" i="32"/>
  <c r="I37" i="32" s="1"/>
  <c r="L37" i="32" s="1"/>
  <c r="P36" i="32"/>
  <c r="Q35" i="32"/>
  <c r="N35" i="32"/>
  <c r="N35" i="31"/>
  <c r="Q35" i="31"/>
  <c r="E24" i="34" s="1"/>
  <c r="N35" i="30"/>
  <c r="C37" i="31"/>
  <c r="M37" i="31" s="1"/>
  <c r="B38" i="31"/>
  <c r="G37" i="31"/>
  <c r="I37" i="31" s="1"/>
  <c r="L37" i="31" s="1"/>
  <c r="F37" i="31"/>
  <c r="H37" i="31" s="1"/>
  <c r="K36" i="31"/>
  <c r="O36" i="31" s="1"/>
  <c r="J36" i="31"/>
  <c r="P36" i="31"/>
  <c r="Q35" i="30"/>
  <c r="D24" i="34" s="1"/>
  <c r="G37" i="30"/>
  <c r="I37" i="30" s="1"/>
  <c r="L37" i="30" s="1"/>
  <c r="F37" i="30"/>
  <c r="H37" i="30" s="1"/>
  <c r="B38" i="30"/>
  <c r="C37" i="30"/>
  <c r="M37" i="30" s="1"/>
  <c r="P36" i="30"/>
  <c r="J36" i="30"/>
  <c r="K36" i="30"/>
  <c r="O36" i="30" s="1"/>
  <c r="P36" i="29"/>
  <c r="Q35" i="29"/>
  <c r="B24" i="34" s="1"/>
  <c r="J36" i="29"/>
  <c r="K36" i="29"/>
  <c r="O36" i="29" s="1"/>
  <c r="F37" i="29"/>
  <c r="H37" i="29" s="1"/>
  <c r="C37" i="29"/>
  <c r="M37" i="29" s="1"/>
  <c r="B38" i="29"/>
  <c r="G37" i="29"/>
  <c r="I37" i="29" s="1"/>
  <c r="L37" i="29" s="1"/>
  <c r="N35" i="29"/>
  <c r="P37" i="24"/>
  <c r="Q36" i="24"/>
  <c r="C25" i="34" s="1"/>
  <c r="J37" i="24"/>
  <c r="O37" i="24"/>
  <c r="B39" i="24"/>
  <c r="G39" i="24" s="1"/>
  <c r="I38" i="24"/>
  <c r="L38" i="24" s="1"/>
  <c r="F38" i="24"/>
  <c r="H38" i="24" s="1"/>
  <c r="K38" i="24" s="1"/>
  <c r="C38" i="24"/>
  <c r="M38" i="24" s="1"/>
  <c r="N36" i="24"/>
  <c r="P39" i="33" l="1"/>
  <c r="C40" i="33"/>
  <c r="M40" i="33" s="1"/>
  <c r="B41" i="33"/>
  <c r="F40" i="33"/>
  <c r="H40" i="33" s="1"/>
  <c r="G40" i="33"/>
  <c r="I40" i="33" s="1"/>
  <c r="L40" i="33" s="1"/>
  <c r="N38" i="33"/>
  <c r="J39" i="33"/>
  <c r="K39" i="33"/>
  <c r="O39" i="33" s="1"/>
  <c r="Q38" i="33"/>
  <c r="N36" i="32"/>
  <c r="Q36" i="32"/>
  <c r="F38" i="32"/>
  <c r="H38" i="32" s="1"/>
  <c r="C38" i="32"/>
  <c r="M38" i="32" s="1"/>
  <c r="B39" i="32"/>
  <c r="G38" i="32"/>
  <c r="I38" i="32" s="1"/>
  <c r="L38" i="32" s="1"/>
  <c r="K37" i="32"/>
  <c r="O37" i="32" s="1"/>
  <c r="J37" i="32"/>
  <c r="P37" i="32"/>
  <c r="Q36" i="31"/>
  <c r="E25" i="34" s="1"/>
  <c r="N36" i="31"/>
  <c r="J37" i="31"/>
  <c r="K37" i="31"/>
  <c r="O37" i="31" s="1"/>
  <c r="G38" i="31"/>
  <c r="I38" i="31" s="1"/>
  <c r="L38" i="31" s="1"/>
  <c r="F38" i="31"/>
  <c r="H38" i="31" s="1"/>
  <c r="C38" i="31"/>
  <c r="M38" i="31" s="1"/>
  <c r="B39" i="31"/>
  <c r="P37" i="31"/>
  <c r="N36" i="30"/>
  <c r="Q36" i="30"/>
  <c r="D25" i="34" s="1"/>
  <c r="P37" i="30"/>
  <c r="C38" i="30"/>
  <c r="M38" i="30" s="1"/>
  <c r="B39" i="30"/>
  <c r="F38" i="30"/>
  <c r="H38" i="30" s="1"/>
  <c r="G38" i="30"/>
  <c r="I38" i="30" s="1"/>
  <c r="L38" i="30" s="1"/>
  <c r="K37" i="30"/>
  <c r="O37" i="30" s="1"/>
  <c r="J37" i="30"/>
  <c r="F38" i="29"/>
  <c r="H38" i="29" s="1"/>
  <c r="C38" i="29"/>
  <c r="M38" i="29" s="1"/>
  <c r="B39" i="29"/>
  <c r="G38" i="29"/>
  <c r="I38" i="29" s="1"/>
  <c r="L38" i="29" s="1"/>
  <c r="J37" i="29"/>
  <c r="K37" i="29"/>
  <c r="O37" i="29" s="1"/>
  <c r="P37" i="29"/>
  <c r="N36" i="29"/>
  <c r="Q36" i="29"/>
  <c r="B25" i="34" s="1"/>
  <c r="J38" i="24"/>
  <c r="O38" i="24"/>
  <c r="B40" i="24"/>
  <c r="G40" i="24" s="1"/>
  <c r="I39" i="24"/>
  <c r="L39" i="24" s="1"/>
  <c r="F39" i="24"/>
  <c r="H39" i="24" s="1"/>
  <c r="K39" i="24" s="1"/>
  <c r="C39" i="24"/>
  <c r="M39" i="24" s="1"/>
  <c r="Q37" i="24"/>
  <c r="C26" i="34" s="1"/>
  <c r="P38" i="24"/>
  <c r="N37" i="24"/>
  <c r="N37" i="31" l="1"/>
  <c r="Q37" i="31"/>
  <c r="E26" i="34" s="1"/>
  <c r="N37" i="32"/>
  <c r="J40" i="33"/>
  <c r="K40" i="33"/>
  <c r="O40" i="33" s="1"/>
  <c r="G41" i="33"/>
  <c r="I41" i="33" s="1"/>
  <c r="L41" i="33" s="1"/>
  <c r="B42" i="33"/>
  <c r="F41" i="33"/>
  <c r="H41" i="33" s="1"/>
  <c r="C41" i="33"/>
  <c r="M41" i="33" s="1"/>
  <c r="P40" i="33"/>
  <c r="N39" i="33"/>
  <c r="Q39" i="33"/>
  <c r="Q37" i="32"/>
  <c r="F39" i="32"/>
  <c r="H39" i="32" s="1"/>
  <c r="C39" i="32"/>
  <c r="M39" i="32" s="1"/>
  <c r="G39" i="32"/>
  <c r="I39" i="32" s="1"/>
  <c r="L39" i="32" s="1"/>
  <c r="B40" i="32"/>
  <c r="P38" i="32"/>
  <c r="K38" i="32"/>
  <c r="O38" i="32" s="1"/>
  <c r="J38" i="32"/>
  <c r="G39" i="31"/>
  <c r="I39" i="31" s="1"/>
  <c r="L39" i="31" s="1"/>
  <c r="B40" i="31"/>
  <c r="C39" i="31"/>
  <c r="M39" i="31" s="1"/>
  <c r="F39" i="31"/>
  <c r="H39" i="31" s="1"/>
  <c r="P38" i="31"/>
  <c r="J38" i="31"/>
  <c r="K38" i="31"/>
  <c r="O38" i="31" s="1"/>
  <c r="J38" i="30"/>
  <c r="K38" i="30"/>
  <c r="O38" i="30" s="1"/>
  <c r="C39" i="30"/>
  <c r="M39" i="30" s="1"/>
  <c r="F39" i="30"/>
  <c r="H39" i="30" s="1"/>
  <c r="B40" i="30"/>
  <c r="G39" i="30"/>
  <c r="I39" i="30" s="1"/>
  <c r="L39" i="30" s="1"/>
  <c r="N37" i="30"/>
  <c r="P38" i="30"/>
  <c r="Q37" i="30"/>
  <c r="D26" i="34" s="1"/>
  <c r="Q37" i="29"/>
  <c r="B26" i="34" s="1"/>
  <c r="N37" i="29"/>
  <c r="B40" i="29"/>
  <c r="C39" i="29"/>
  <c r="M39" i="29" s="1"/>
  <c r="G39" i="29"/>
  <c r="I39" i="29" s="1"/>
  <c r="L39" i="29" s="1"/>
  <c r="F39" i="29"/>
  <c r="H39" i="29" s="1"/>
  <c r="P38" i="29"/>
  <c r="J38" i="29"/>
  <c r="K38" i="29"/>
  <c r="O38" i="29" s="1"/>
  <c r="N38" i="24"/>
  <c r="J39" i="24"/>
  <c r="O39" i="24"/>
  <c r="C40" i="24"/>
  <c r="M40" i="24" s="1"/>
  <c r="B41" i="24"/>
  <c r="G41" i="24" s="1"/>
  <c r="I40" i="24"/>
  <c r="L40" i="24" s="1"/>
  <c r="F40" i="24"/>
  <c r="H40" i="24" s="1"/>
  <c r="K40" i="24" s="1"/>
  <c r="P39" i="24"/>
  <c r="Q38" i="24"/>
  <c r="C27" i="34" s="1"/>
  <c r="N40" i="33" l="1"/>
  <c r="Q40" i="33"/>
  <c r="P41" i="33"/>
  <c r="J41" i="33"/>
  <c r="K41" i="33"/>
  <c r="O41" i="33" s="1"/>
  <c r="G42" i="33"/>
  <c r="I42" i="33" s="1"/>
  <c r="L42" i="33" s="1"/>
  <c r="B43" i="33"/>
  <c r="F42" i="33"/>
  <c r="H42" i="33" s="1"/>
  <c r="C42" i="33"/>
  <c r="M42" i="33" s="1"/>
  <c r="N38" i="32"/>
  <c r="Q38" i="32"/>
  <c r="C40" i="32"/>
  <c r="M40" i="32" s="1"/>
  <c r="G40" i="32"/>
  <c r="I40" i="32" s="1"/>
  <c r="L40" i="32" s="1"/>
  <c r="F40" i="32"/>
  <c r="H40" i="32" s="1"/>
  <c r="B41" i="32"/>
  <c r="P39" i="32"/>
  <c r="K39" i="32"/>
  <c r="O39" i="32" s="1"/>
  <c r="J39" i="32"/>
  <c r="N38" i="30"/>
  <c r="Q38" i="30"/>
  <c r="D27" i="34" s="1"/>
  <c r="Q38" i="31"/>
  <c r="E27" i="34" s="1"/>
  <c r="J39" i="31"/>
  <c r="K39" i="31"/>
  <c r="O39" i="31" s="1"/>
  <c r="N38" i="31"/>
  <c r="P39" i="31"/>
  <c r="B41" i="31"/>
  <c r="C40" i="31"/>
  <c r="M40" i="31" s="1"/>
  <c r="G40" i="31"/>
  <c r="I40" i="31" s="1"/>
  <c r="L40" i="31" s="1"/>
  <c r="F40" i="31"/>
  <c r="H40" i="31" s="1"/>
  <c r="P39" i="30"/>
  <c r="G40" i="30"/>
  <c r="I40" i="30" s="1"/>
  <c r="L40" i="30" s="1"/>
  <c r="F40" i="30"/>
  <c r="H40" i="30" s="1"/>
  <c r="B41" i="30"/>
  <c r="C40" i="30"/>
  <c r="M40" i="30" s="1"/>
  <c r="J39" i="30"/>
  <c r="K39" i="30"/>
  <c r="O39" i="30" s="1"/>
  <c r="Q38" i="29"/>
  <c r="B27" i="34" s="1"/>
  <c r="N38" i="29"/>
  <c r="J39" i="29"/>
  <c r="K39" i="29"/>
  <c r="O39" i="29" s="1"/>
  <c r="P39" i="29"/>
  <c r="N39" i="29"/>
  <c r="F40" i="29"/>
  <c r="H40" i="29" s="1"/>
  <c r="G40" i="29"/>
  <c r="I40" i="29" s="1"/>
  <c r="L40" i="29" s="1"/>
  <c r="C40" i="29"/>
  <c r="M40" i="29" s="1"/>
  <c r="B41" i="29"/>
  <c r="Q39" i="24"/>
  <c r="C28" i="34" s="1"/>
  <c r="N39" i="24"/>
  <c r="J40" i="24"/>
  <c r="O40" i="24"/>
  <c r="F41" i="24"/>
  <c r="H41" i="24" s="1"/>
  <c r="K41" i="24" s="1"/>
  <c r="B42" i="24"/>
  <c r="G42" i="24" s="1"/>
  <c r="I41" i="24"/>
  <c r="L41" i="24" s="1"/>
  <c r="C41" i="24"/>
  <c r="M41" i="24" s="1"/>
  <c r="P40" i="24"/>
  <c r="P42" i="33" l="1"/>
  <c r="C43" i="33"/>
  <c r="M43" i="33" s="1"/>
  <c r="G43" i="33"/>
  <c r="I43" i="33" s="1"/>
  <c r="L43" i="33" s="1"/>
  <c r="B44" i="33"/>
  <c r="F43" i="33"/>
  <c r="H43" i="33" s="1"/>
  <c r="K42" i="33"/>
  <c r="O42" i="33" s="1"/>
  <c r="J42" i="33"/>
  <c r="N41" i="33"/>
  <c r="Q41" i="33"/>
  <c r="N39" i="32"/>
  <c r="Q39" i="32"/>
  <c r="G41" i="32"/>
  <c r="I41" i="32" s="1"/>
  <c r="L41" i="32" s="1"/>
  <c r="F41" i="32"/>
  <c r="H41" i="32" s="1"/>
  <c r="C41" i="32"/>
  <c r="M41" i="32" s="1"/>
  <c r="B42" i="32"/>
  <c r="J40" i="32"/>
  <c r="K40" i="32"/>
  <c r="O40" i="32" s="1"/>
  <c r="P40" i="32"/>
  <c r="N39" i="31"/>
  <c r="Q39" i="31"/>
  <c r="E28" i="34" s="1"/>
  <c r="J40" i="31"/>
  <c r="K40" i="31"/>
  <c r="O40" i="31" s="1"/>
  <c r="P40" i="31"/>
  <c r="B42" i="31"/>
  <c r="F41" i="31"/>
  <c r="H41" i="31" s="1"/>
  <c r="G41" i="31"/>
  <c r="I41" i="31" s="1"/>
  <c r="L41" i="31" s="1"/>
  <c r="C41" i="31"/>
  <c r="M41" i="31" s="1"/>
  <c r="P40" i="30"/>
  <c r="C41" i="30"/>
  <c r="M41" i="30" s="1"/>
  <c r="G41" i="30"/>
  <c r="I41" i="30" s="1"/>
  <c r="L41" i="30" s="1"/>
  <c r="F41" i="30"/>
  <c r="H41" i="30" s="1"/>
  <c r="B42" i="30"/>
  <c r="J40" i="30"/>
  <c r="K40" i="30"/>
  <c r="O40" i="30" s="1"/>
  <c r="Q39" i="30"/>
  <c r="D28" i="34" s="1"/>
  <c r="N39" i="30"/>
  <c r="Q39" i="29"/>
  <c r="B28" i="34" s="1"/>
  <c r="B42" i="29"/>
  <c r="G41" i="29"/>
  <c r="I41" i="29" s="1"/>
  <c r="L41" i="29" s="1"/>
  <c r="F41" i="29"/>
  <c r="H41" i="29" s="1"/>
  <c r="C41" i="29"/>
  <c r="M41" i="29" s="1"/>
  <c r="P40" i="29"/>
  <c r="J40" i="29"/>
  <c r="K40" i="29"/>
  <c r="O40" i="29" s="1"/>
  <c r="N40" i="24"/>
  <c r="Q40" i="24"/>
  <c r="C29" i="34" s="1"/>
  <c r="P41" i="24"/>
  <c r="I42" i="24"/>
  <c r="L42" i="24" s="1"/>
  <c r="C42" i="24"/>
  <c r="M42" i="24" s="1"/>
  <c r="F42" i="24"/>
  <c r="H42" i="24" s="1"/>
  <c r="K42" i="24" s="1"/>
  <c r="B43" i="24"/>
  <c r="G43" i="24" s="1"/>
  <c r="J41" i="24"/>
  <c r="O41" i="24"/>
  <c r="N40" i="32" l="1"/>
  <c r="G44" i="33"/>
  <c r="I44" i="33" s="1"/>
  <c r="L44" i="33" s="1"/>
  <c r="B45" i="33"/>
  <c r="F44" i="33"/>
  <c r="H44" i="33" s="1"/>
  <c r="C44" i="33"/>
  <c r="M44" i="33" s="1"/>
  <c r="J43" i="33"/>
  <c r="K43" i="33"/>
  <c r="O43" i="33" s="1"/>
  <c r="P43" i="33"/>
  <c r="N43" i="33"/>
  <c r="N42" i="33"/>
  <c r="Q42" i="33"/>
  <c r="Q40" i="32"/>
  <c r="G42" i="32"/>
  <c r="I42" i="32" s="1"/>
  <c r="L42" i="32" s="1"/>
  <c r="C42" i="32"/>
  <c r="M42" i="32" s="1"/>
  <c r="B43" i="32"/>
  <c r="F42" i="32"/>
  <c r="H42" i="32" s="1"/>
  <c r="P41" i="32"/>
  <c r="J41" i="32"/>
  <c r="K41" i="32"/>
  <c r="O41" i="32" s="1"/>
  <c r="N40" i="31"/>
  <c r="Q40" i="31"/>
  <c r="E29" i="34" s="1"/>
  <c r="P41" i="31"/>
  <c r="J41" i="31"/>
  <c r="K41" i="31"/>
  <c r="O41" i="31" s="1"/>
  <c r="C42" i="31"/>
  <c r="M42" i="31" s="1"/>
  <c r="B43" i="31"/>
  <c r="F42" i="31"/>
  <c r="H42" i="31" s="1"/>
  <c r="G42" i="31"/>
  <c r="I42" i="31" s="1"/>
  <c r="L42" i="31" s="1"/>
  <c r="G42" i="30"/>
  <c r="I42" i="30" s="1"/>
  <c r="L42" i="30" s="1"/>
  <c r="F42" i="30"/>
  <c r="H42" i="30" s="1"/>
  <c r="C42" i="30"/>
  <c r="M42" i="30" s="1"/>
  <c r="B43" i="30"/>
  <c r="J41" i="30"/>
  <c r="K41" i="30"/>
  <c r="O41" i="30" s="1"/>
  <c r="P41" i="30"/>
  <c r="N40" i="30"/>
  <c r="Q40" i="30"/>
  <c r="D29" i="34" s="1"/>
  <c r="P41" i="29"/>
  <c r="N40" i="29"/>
  <c r="Q40" i="29"/>
  <c r="B29" i="34" s="1"/>
  <c r="J41" i="29"/>
  <c r="K41" i="29"/>
  <c r="O41" i="29" s="1"/>
  <c r="G42" i="29"/>
  <c r="I42" i="29" s="1"/>
  <c r="L42" i="29" s="1"/>
  <c r="B43" i="29"/>
  <c r="C42" i="29"/>
  <c r="M42" i="29" s="1"/>
  <c r="F42" i="29"/>
  <c r="H42" i="29" s="1"/>
  <c r="B44" i="24"/>
  <c r="G44" i="24" s="1"/>
  <c r="I43" i="24"/>
  <c r="L43" i="24" s="1"/>
  <c r="F43" i="24"/>
  <c r="H43" i="24" s="1"/>
  <c r="K43" i="24" s="1"/>
  <c r="C43" i="24"/>
  <c r="M43" i="24" s="1"/>
  <c r="J42" i="24"/>
  <c r="O42" i="24"/>
  <c r="P42" i="24"/>
  <c r="N42" i="24"/>
  <c r="Q41" i="24"/>
  <c r="C30" i="34" s="1"/>
  <c r="N41" i="24"/>
  <c r="Q43" i="33" l="1"/>
  <c r="J44" i="33"/>
  <c r="K44" i="33"/>
  <c r="O44" i="33" s="1"/>
  <c r="G45" i="33"/>
  <c r="I45" i="33" s="1"/>
  <c r="L45" i="33" s="1"/>
  <c r="B46" i="33"/>
  <c r="F45" i="33"/>
  <c r="H45" i="33" s="1"/>
  <c r="C45" i="33"/>
  <c r="M45" i="33" s="1"/>
  <c r="P44" i="33"/>
  <c r="Q41" i="32"/>
  <c r="J42" i="32"/>
  <c r="K42" i="32"/>
  <c r="O42" i="32" s="1"/>
  <c r="B44" i="32"/>
  <c r="G43" i="32"/>
  <c r="I43" i="32" s="1"/>
  <c r="L43" i="32" s="1"/>
  <c r="F43" i="32"/>
  <c r="H43" i="32" s="1"/>
  <c r="C43" i="32"/>
  <c r="M43" i="32" s="1"/>
  <c r="N41" i="32"/>
  <c r="P42" i="32"/>
  <c r="N41" i="30"/>
  <c r="Q41" i="30"/>
  <c r="D30" i="34" s="1"/>
  <c r="J42" i="31"/>
  <c r="K42" i="31"/>
  <c r="O42" i="31" s="1"/>
  <c r="C43" i="31"/>
  <c r="M43" i="31" s="1"/>
  <c r="G43" i="31"/>
  <c r="I43" i="31" s="1"/>
  <c r="L43" i="31" s="1"/>
  <c r="F43" i="31"/>
  <c r="H43" i="31" s="1"/>
  <c r="B44" i="31"/>
  <c r="P42" i="31"/>
  <c r="N41" i="31"/>
  <c r="Q41" i="31"/>
  <c r="E30" i="34" s="1"/>
  <c r="G43" i="30"/>
  <c r="I43" i="30" s="1"/>
  <c r="L43" i="30" s="1"/>
  <c r="F43" i="30"/>
  <c r="H43" i="30" s="1"/>
  <c r="B44" i="30"/>
  <c r="C43" i="30"/>
  <c r="M43" i="30" s="1"/>
  <c r="J42" i="30"/>
  <c r="K42" i="30"/>
  <c r="O42" i="30" s="1"/>
  <c r="P42" i="30"/>
  <c r="J42" i="29"/>
  <c r="K42" i="29"/>
  <c r="O42" i="29" s="1"/>
  <c r="P42" i="29"/>
  <c r="F43" i="29"/>
  <c r="H43" i="29" s="1"/>
  <c r="C43" i="29"/>
  <c r="M43" i="29" s="1"/>
  <c r="B44" i="29"/>
  <c r="G43" i="29"/>
  <c r="I43" i="29" s="1"/>
  <c r="L43" i="29" s="1"/>
  <c r="Q41" i="29"/>
  <c r="B30" i="34" s="1"/>
  <c r="N41" i="29"/>
  <c r="Q42" i="24"/>
  <c r="C31" i="34" s="1"/>
  <c r="P43" i="24"/>
  <c r="J43" i="24"/>
  <c r="O43" i="24"/>
  <c r="C44" i="24"/>
  <c r="M44" i="24" s="1"/>
  <c r="B45" i="24"/>
  <c r="G45" i="24" s="1"/>
  <c r="I44" i="24"/>
  <c r="L44" i="24" s="1"/>
  <c r="F44" i="24"/>
  <c r="H44" i="24" s="1"/>
  <c r="K44" i="24" s="1"/>
  <c r="N44" i="33" l="1"/>
  <c r="Q44" i="33"/>
  <c r="P45" i="33"/>
  <c r="K45" i="33"/>
  <c r="O45" i="33" s="1"/>
  <c r="J45" i="33"/>
  <c r="C46" i="33"/>
  <c r="M46" i="33" s="1"/>
  <c r="G46" i="33"/>
  <c r="I46" i="33" s="1"/>
  <c r="L46" i="33" s="1"/>
  <c r="B47" i="33"/>
  <c r="F46" i="33"/>
  <c r="H46" i="33" s="1"/>
  <c r="N42" i="32"/>
  <c r="Q42" i="32"/>
  <c r="P43" i="32"/>
  <c r="B45" i="32"/>
  <c r="F44" i="32"/>
  <c r="H44" i="32" s="1"/>
  <c r="C44" i="32"/>
  <c r="M44" i="32" s="1"/>
  <c r="G44" i="32"/>
  <c r="I44" i="32" s="1"/>
  <c r="L44" i="32" s="1"/>
  <c r="K43" i="32"/>
  <c r="O43" i="32" s="1"/>
  <c r="J43" i="32"/>
  <c r="Q42" i="31"/>
  <c r="E31" i="34" s="1"/>
  <c r="N42" i="31"/>
  <c r="N42" i="30"/>
  <c r="Q42" i="30"/>
  <c r="D31" i="34" s="1"/>
  <c r="G44" i="31"/>
  <c r="I44" i="31" s="1"/>
  <c r="L44" i="31" s="1"/>
  <c r="C44" i="31"/>
  <c r="M44" i="31" s="1"/>
  <c r="B45" i="31"/>
  <c r="F44" i="31"/>
  <c r="H44" i="31" s="1"/>
  <c r="J43" i="31"/>
  <c r="K43" i="31"/>
  <c r="O43" i="31" s="1"/>
  <c r="P43" i="31"/>
  <c r="Q43" i="31" s="1"/>
  <c r="E32" i="34" s="1"/>
  <c r="P43" i="30"/>
  <c r="C44" i="30"/>
  <c r="M44" i="30" s="1"/>
  <c r="G44" i="30"/>
  <c r="I44" i="30" s="1"/>
  <c r="L44" i="30" s="1"/>
  <c r="F44" i="30"/>
  <c r="H44" i="30" s="1"/>
  <c r="B45" i="30"/>
  <c r="K43" i="30"/>
  <c r="O43" i="30" s="1"/>
  <c r="J43" i="30"/>
  <c r="N42" i="29"/>
  <c r="Q42" i="29"/>
  <c r="B31" i="34" s="1"/>
  <c r="B45" i="29"/>
  <c r="C44" i="29"/>
  <c r="M44" i="29" s="1"/>
  <c r="G44" i="29"/>
  <c r="I44" i="29" s="1"/>
  <c r="L44" i="29" s="1"/>
  <c r="F44" i="29"/>
  <c r="H44" i="29" s="1"/>
  <c r="J43" i="29"/>
  <c r="K43" i="29"/>
  <c r="O43" i="29" s="1"/>
  <c r="P43" i="29"/>
  <c r="P44" i="24"/>
  <c r="J44" i="24"/>
  <c r="O44" i="24"/>
  <c r="F45" i="24"/>
  <c r="H45" i="24" s="1"/>
  <c r="K45" i="24" s="1"/>
  <c r="B46" i="24"/>
  <c r="G46" i="24" s="1"/>
  <c r="I45" i="24"/>
  <c r="L45" i="24" s="1"/>
  <c r="C45" i="24"/>
  <c r="M45" i="24" s="1"/>
  <c r="N43" i="24"/>
  <c r="Q43" i="24"/>
  <c r="C32" i="34" s="1"/>
  <c r="N43" i="31" l="1"/>
  <c r="P46" i="33"/>
  <c r="J46" i="33"/>
  <c r="K46" i="33"/>
  <c r="O46" i="33" s="1"/>
  <c r="G47" i="33"/>
  <c r="I47" i="33" s="1"/>
  <c r="L47" i="33" s="1"/>
  <c r="B48" i="33"/>
  <c r="F47" i="33"/>
  <c r="H47" i="33" s="1"/>
  <c r="C47" i="33"/>
  <c r="M47" i="33" s="1"/>
  <c r="N45" i="33"/>
  <c r="Q45" i="33"/>
  <c r="J44" i="32"/>
  <c r="K44" i="32"/>
  <c r="O44" i="32" s="1"/>
  <c r="G45" i="32"/>
  <c r="I45" i="32" s="1"/>
  <c r="L45" i="32" s="1"/>
  <c r="F45" i="32"/>
  <c r="H45" i="32" s="1"/>
  <c r="C45" i="32"/>
  <c r="M45" i="32" s="1"/>
  <c r="B46" i="32"/>
  <c r="Q43" i="32"/>
  <c r="P44" i="32"/>
  <c r="N43" i="32"/>
  <c r="P44" i="31"/>
  <c r="J44" i="31"/>
  <c r="K44" i="31"/>
  <c r="O44" i="31" s="1"/>
  <c r="F45" i="31"/>
  <c r="H45" i="31" s="1"/>
  <c r="C45" i="31"/>
  <c r="M45" i="31" s="1"/>
  <c r="B46" i="31"/>
  <c r="G45" i="31"/>
  <c r="I45" i="31" s="1"/>
  <c r="L45" i="31" s="1"/>
  <c r="K44" i="30"/>
  <c r="O44" i="30" s="1"/>
  <c r="J44" i="30"/>
  <c r="B46" i="30"/>
  <c r="C45" i="30"/>
  <c r="M45" i="30" s="1"/>
  <c r="G45" i="30"/>
  <c r="I45" i="30" s="1"/>
  <c r="L45" i="30" s="1"/>
  <c r="F45" i="30"/>
  <c r="H45" i="30" s="1"/>
  <c r="P44" i="30"/>
  <c r="Q43" i="30"/>
  <c r="D32" i="34" s="1"/>
  <c r="N43" i="30"/>
  <c r="N43" i="29"/>
  <c r="Q43" i="29"/>
  <c r="B32" i="34" s="1"/>
  <c r="J44" i="29"/>
  <c r="K44" i="29"/>
  <c r="O44" i="29" s="1"/>
  <c r="P44" i="29"/>
  <c r="Q44" i="29" s="1"/>
  <c r="B33" i="34" s="1"/>
  <c r="B46" i="29"/>
  <c r="C45" i="29"/>
  <c r="M45" i="29" s="1"/>
  <c r="G45" i="29"/>
  <c r="I45" i="29" s="1"/>
  <c r="L45" i="29" s="1"/>
  <c r="F45" i="29"/>
  <c r="H45" i="29" s="1"/>
  <c r="I46" i="24"/>
  <c r="L46" i="24" s="1"/>
  <c r="C46" i="24"/>
  <c r="M46" i="24" s="1"/>
  <c r="B47" i="24"/>
  <c r="G47" i="24" s="1"/>
  <c r="F46" i="24"/>
  <c r="H46" i="24" s="1"/>
  <c r="K46" i="24" s="1"/>
  <c r="J45" i="24"/>
  <c r="O45" i="24"/>
  <c r="N45" i="24"/>
  <c r="P45" i="24"/>
  <c r="N44" i="24"/>
  <c r="Q44" i="24"/>
  <c r="C33" i="34" s="1"/>
  <c r="P47" i="33" l="1"/>
  <c r="N46" i="33"/>
  <c r="J47" i="33"/>
  <c r="K47" i="33"/>
  <c r="O47" i="33" s="1"/>
  <c r="G48" i="33"/>
  <c r="I48" i="33" s="1"/>
  <c r="L48" i="33" s="1"/>
  <c r="B49" i="33"/>
  <c r="F48" i="33"/>
  <c r="H48" i="33" s="1"/>
  <c r="C48" i="33"/>
  <c r="M48" i="33" s="1"/>
  <c r="Q46" i="33"/>
  <c r="N44" i="32"/>
  <c r="Q44" i="32"/>
  <c r="F46" i="32"/>
  <c r="H46" i="32" s="1"/>
  <c r="B47" i="32"/>
  <c r="G46" i="32"/>
  <c r="I46" i="32" s="1"/>
  <c r="L46" i="32" s="1"/>
  <c r="C46" i="32"/>
  <c r="M46" i="32" s="1"/>
  <c r="P45" i="32"/>
  <c r="J45" i="32"/>
  <c r="K45" i="32"/>
  <c r="O45" i="32" s="1"/>
  <c r="N44" i="30"/>
  <c r="Q44" i="30"/>
  <c r="D33" i="34" s="1"/>
  <c r="B47" i="31"/>
  <c r="C46" i="31"/>
  <c r="M46" i="31" s="1"/>
  <c r="G46" i="31"/>
  <c r="I46" i="31" s="1"/>
  <c r="L46" i="31" s="1"/>
  <c r="F46" i="31"/>
  <c r="H46" i="31" s="1"/>
  <c r="J45" i="31"/>
  <c r="K45" i="31"/>
  <c r="O45" i="31" s="1"/>
  <c r="P45" i="31"/>
  <c r="Q44" i="31"/>
  <c r="E33" i="34" s="1"/>
  <c r="N44" i="31"/>
  <c r="J45" i="30"/>
  <c r="K45" i="30"/>
  <c r="O45" i="30" s="1"/>
  <c r="P45" i="30"/>
  <c r="G46" i="30"/>
  <c r="I46" i="30" s="1"/>
  <c r="L46" i="30" s="1"/>
  <c r="F46" i="30"/>
  <c r="H46" i="30" s="1"/>
  <c r="C46" i="30"/>
  <c r="M46" i="30" s="1"/>
  <c r="B47" i="30"/>
  <c r="N44" i="29"/>
  <c r="Q45" i="24"/>
  <c r="C34" i="34" s="1"/>
  <c r="P45" i="29"/>
  <c r="J45" i="29"/>
  <c r="K45" i="29"/>
  <c r="O45" i="29" s="1"/>
  <c r="F46" i="29"/>
  <c r="H46" i="29" s="1"/>
  <c r="G46" i="29"/>
  <c r="I46" i="29" s="1"/>
  <c r="L46" i="29" s="1"/>
  <c r="B47" i="29"/>
  <c r="C46" i="29"/>
  <c r="M46" i="29" s="1"/>
  <c r="J46" i="24"/>
  <c r="O46" i="24"/>
  <c r="B48" i="24"/>
  <c r="G48" i="24" s="1"/>
  <c r="I47" i="24"/>
  <c r="L47" i="24" s="1"/>
  <c r="F47" i="24"/>
  <c r="H47" i="24" s="1"/>
  <c r="K47" i="24" s="1"/>
  <c r="C47" i="24"/>
  <c r="M47" i="24" s="1"/>
  <c r="P46" i="24"/>
  <c r="P48" i="33" l="1"/>
  <c r="K48" i="33"/>
  <c r="O48" i="33" s="1"/>
  <c r="J48" i="33"/>
  <c r="C49" i="33"/>
  <c r="M49" i="33" s="1"/>
  <c r="G49" i="33"/>
  <c r="I49" i="33" s="1"/>
  <c r="L49" i="33" s="1"/>
  <c r="B50" i="33"/>
  <c r="F49" i="33"/>
  <c r="H49" i="33" s="1"/>
  <c r="N47" i="33"/>
  <c r="Q47" i="33"/>
  <c r="Q45" i="32"/>
  <c r="N45" i="32"/>
  <c r="P46" i="32"/>
  <c r="F47" i="32"/>
  <c r="H47" i="32" s="1"/>
  <c r="C47" i="32"/>
  <c r="M47" i="32" s="1"/>
  <c r="B48" i="32"/>
  <c r="G47" i="32"/>
  <c r="I47" i="32" s="1"/>
  <c r="L47" i="32" s="1"/>
  <c r="K46" i="32"/>
  <c r="O46" i="32" s="1"/>
  <c r="J46" i="32"/>
  <c r="Q45" i="31"/>
  <c r="E34" i="34" s="1"/>
  <c r="N45" i="31"/>
  <c r="Q45" i="30"/>
  <c r="D34" i="34" s="1"/>
  <c r="N45" i="30"/>
  <c r="J46" i="31"/>
  <c r="K46" i="31"/>
  <c r="O46" i="31" s="1"/>
  <c r="P46" i="31"/>
  <c r="G47" i="31"/>
  <c r="I47" i="31" s="1"/>
  <c r="L47" i="31" s="1"/>
  <c r="B48" i="31"/>
  <c r="C47" i="31"/>
  <c r="M47" i="31" s="1"/>
  <c r="F47" i="31"/>
  <c r="H47" i="31" s="1"/>
  <c r="P46" i="30"/>
  <c r="J46" i="30"/>
  <c r="K46" i="30"/>
  <c r="O46" i="30" s="1"/>
  <c r="C47" i="30"/>
  <c r="M47" i="30" s="1"/>
  <c r="F47" i="30"/>
  <c r="H47" i="30" s="1"/>
  <c r="B48" i="30"/>
  <c r="G47" i="30"/>
  <c r="I47" i="30" s="1"/>
  <c r="L47" i="30" s="1"/>
  <c r="P46" i="29"/>
  <c r="J46" i="29"/>
  <c r="K46" i="29"/>
  <c r="O46" i="29" s="1"/>
  <c r="F47" i="29"/>
  <c r="H47" i="29" s="1"/>
  <c r="C47" i="29"/>
  <c r="M47" i="29" s="1"/>
  <c r="B48" i="29"/>
  <c r="G47" i="29"/>
  <c r="I47" i="29" s="1"/>
  <c r="L47" i="29" s="1"/>
  <c r="N45" i="29"/>
  <c r="Q45" i="29"/>
  <c r="B34" i="34" s="1"/>
  <c r="Q46" i="24"/>
  <c r="C35" i="34" s="1"/>
  <c r="N46" i="24"/>
  <c r="P47" i="24"/>
  <c r="C48" i="24"/>
  <c r="M48" i="24" s="1"/>
  <c r="B49" i="24"/>
  <c r="G49" i="24" s="1"/>
  <c r="I48" i="24"/>
  <c r="L48" i="24" s="1"/>
  <c r="F48" i="24"/>
  <c r="H48" i="24" s="1"/>
  <c r="K48" i="24" s="1"/>
  <c r="J47" i="24"/>
  <c r="O47" i="24"/>
  <c r="P49" i="33" l="1"/>
  <c r="G50" i="33"/>
  <c r="I50" i="33" s="1"/>
  <c r="L50" i="33" s="1"/>
  <c r="B51" i="33"/>
  <c r="F50" i="33"/>
  <c r="H50" i="33" s="1"/>
  <c r="C50" i="33"/>
  <c r="M50" i="33" s="1"/>
  <c r="J49" i="33"/>
  <c r="K49" i="33"/>
  <c r="O49" i="33" s="1"/>
  <c r="N48" i="33"/>
  <c r="Q48" i="33"/>
  <c r="P47" i="32"/>
  <c r="K47" i="32"/>
  <c r="O47" i="32" s="1"/>
  <c r="J47" i="32"/>
  <c r="N46" i="32"/>
  <c r="Q46" i="32"/>
  <c r="F48" i="32"/>
  <c r="H48" i="32" s="1"/>
  <c r="C48" i="32"/>
  <c r="M48" i="32" s="1"/>
  <c r="B49" i="32"/>
  <c r="G48" i="32"/>
  <c r="I48" i="32" s="1"/>
  <c r="L48" i="32" s="1"/>
  <c r="Q46" i="31"/>
  <c r="E35" i="34" s="1"/>
  <c r="N46" i="31"/>
  <c r="P47" i="31"/>
  <c r="J47" i="31"/>
  <c r="K47" i="31"/>
  <c r="O47" i="31" s="1"/>
  <c r="C48" i="31"/>
  <c r="M48" i="31" s="1"/>
  <c r="G48" i="31"/>
  <c r="I48" i="31" s="1"/>
  <c r="L48" i="31" s="1"/>
  <c r="F48" i="31"/>
  <c r="H48" i="31" s="1"/>
  <c r="B49" i="31"/>
  <c r="F48" i="30"/>
  <c r="H48" i="30" s="1"/>
  <c r="G48" i="30"/>
  <c r="I48" i="30" s="1"/>
  <c r="L48" i="30" s="1"/>
  <c r="C48" i="30"/>
  <c r="M48" i="30" s="1"/>
  <c r="B49" i="30"/>
  <c r="J47" i="30"/>
  <c r="K47" i="30"/>
  <c r="O47" i="30" s="1"/>
  <c r="P47" i="30"/>
  <c r="N46" i="30"/>
  <c r="Q46" i="30"/>
  <c r="D35" i="34" s="1"/>
  <c r="B49" i="29"/>
  <c r="C48" i="29"/>
  <c r="M48" i="29" s="1"/>
  <c r="G48" i="29"/>
  <c r="I48" i="29" s="1"/>
  <c r="L48" i="29" s="1"/>
  <c r="F48" i="29"/>
  <c r="H48" i="29" s="1"/>
  <c r="J47" i="29"/>
  <c r="K47" i="29"/>
  <c r="O47" i="29" s="1"/>
  <c r="N46" i="29"/>
  <c r="N47" i="29"/>
  <c r="P47" i="29"/>
  <c r="Q47" i="29" s="1"/>
  <c r="B36" i="34" s="1"/>
  <c r="Q46" i="29"/>
  <c r="B35" i="34" s="1"/>
  <c r="J48" i="24"/>
  <c r="O48" i="24"/>
  <c r="F49" i="24"/>
  <c r="H49" i="24" s="1"/>
  <c r="K49" i="24" s="1"/>
  <c r="B50" i="24"/>
  <c r="G50" i="24" s="1"/>
  <c r="I49" i="24"/>
  <c r="L49" i="24" s="1"/>
  <c r="C49" i="24"/>
  <c r="M49" i="24" s="1"/>
  <c r="P48" i="24"/>
  <c r="N47" i="24"/>
  <c r="Q47" i="24"/>
  <c r="C36" i="34" s="1"/>
  <c r="P50" i="33" l="1"/>
  <c r="G51" i="33"/>
  <c r="I51" i="33" s="1"/>
  <c r="L51" i="33" s="1"/>
  <c r="F51" i="33"/>
  <c r="H51" i="33" s="1"/>
  <c r="C51" i="33"/>
  <c r="M51" i="33" s="1"/>
  <c r="B52" i="33"/>
  <c r="J50" i="33"/>
  <c r="K50" i="33"/>
  <c r="O50" i="33" s="1"/>
  <c r="N49" i="33"/>
  <c r="Q49" i="33"/>
  <c r="N47" i="32"/>
  <c r="K48" i="32"/>
  <c r="O48" i="32" s="1"/>
  <c r="J48" i="32"/>
  <c r="P48" i="32"/>
  <c r="C49" i="32"/>
  <c r="M49" i="32" s="1"/>
  <c r="B50" i="32"/>
  <c r="G49" i="32"/>
  <c r="I49" i="32" s="1"/>
  <c r="L49" i="32" s="1"/>
  <c r="F49" i="32"/>
  <c r="H49" i="32" s="1"/>
  <c r="Q47" i="32"/>
  <c r="Q47" i="30"/>
  <c r="D36" i="34" s="1"/>
  <c r="N47" i="30"/>
  <c r="B50" i="31"/>
  <c r="C49" i="31"/>
  <c r="M49" i="31" s="1"/>
  <c r="F49" i="31"/>
  <c r="H49" i="31" s="1"/>
  <c r="G49" i="31"/>
  <c r="I49" i="31" s="1"/>
  <c r="L49" i="31" s="1"/>
  <c r="J48" i="31"/>
  <c r="K48" i="31"/>
  <c r="O48" i="31" s="1"/>
  <c r="P48" i="31"/>
  <c r="Q47" i="31"/>
  <c r="E36" i="34" s="1"/>
  <c r="N47" i="31"/>
  <c r="P48" i="30"/>
  <c r="G49" i="30"/>
  <c r="I49" i="30" s="1"/>
  <c r="L49" i="30" s="1"/>
  <c r="F49" i="30"/>
  <c r="H49" i="30" s="1"/>
  <c r="B50" i="30"/>
  <c r="C49" i="30"/>
  <c r="M49" i="30" s="1"/>
  <c r="J48" i="30"/>
  <c r="K48" i="30"/>
  <c r="O48" i="30" s="1"/>
  <c r="J48" i="29"/>
  <c r="K48" i="29"/>
  <c r="O48" i="29" s="1"/>
  <c r="P48" i="29"/>
  <c r="F49" i="29"/>
  <c r="H49" i="29" s="1"/>
  <c r="C49" i="29"/>
  <c r="M49" i="29" s="1"/>
  <c r="G49" i="29"/>
  <c r="I49" i="29" s="1"/>
  <c r="L49" i="29" s="1"/>
  <c r="B50" i="29"/>
  <c r="Q48" i="24"/>
  <c r="C37" i="34" s="1"/>
  <c r="N48" i="24"/>
  <c r="P49" i="24"/>
  <c r="I50" i="24"/>
  <c r="L50" i="24" s="1"/>
  <c r="C50" i="24"/>
  <c r="M50" i="24" s="1"/>
  <c r="F50" i="24"/>
  <c r="H50" i="24" s="1"/>
  <c r="K50" i="24" s="1"/>
  <c r="B51" i="24"/>
  <c r="G51" i="24" s="1"/>
  <c r="J49" i="24"/>
  <c r="O49" i="24"/>
  <c r="G52" i="33" l="1"/>
  <c r="I52" i="33" s="1"/>
  <c r="L52" i="33" s="1"/>
  <c r="B53" i="33"/>
  <c r="F52" i="33"/>
  <c r="H52" i="33" s="1"/>
  <c r="C52" i="33"/>
  <c r="M52" i="33" s="1"/>
  <c r="J51" i="33"/>
  <c r="K51" i="33"/>
  <c r="O51" i="33" s="1"/>
  <c r="N50" i="33"/>
  <c r="P51" i="33"/>
  <c r="Q50" i="33"/>
  <c r="N48" i="32"/>
  <c r="Q48" i="32"/>
  <c r="P49" i="32"/>
  <c r="J49" i="32"/>
  <c r="K49" i="32"/>
  <c r="O49" i="32" s="1"/>
  <c r="G50" i="32"/>
  <c r="I50" i="32" s="1"/>
  <c r="L50" i="32" s="1"/>
  <c r="F50" i="32"/>
  <c r="H50" i="32" s="1"/>
  <c r="C50" i="32"/>
  <c r="M50" i="32" s="1"/>
  <c r="B51" i="32"/>
  <c r="N48" i="31"/>
  <c r="Q48" i="31"/>
  <c r="E37" i="34" s="1"/>
  <c r="K49" i="31"/>
  <c r="O49" i="31" s="1"/>
  <c r="J49" i="31"/>
  <c r="P49" i="31"/>
  <c r="B51" i="31"/>
  <c r="F50" i="31"/>
  <c r="H50" i="31" s="1"/>
  <c r="G50" i="31"/>
  <c r="I50" i="31" s="1"/>
  <c r="L50" i="31" s="1"/>
  <c r="C50" i="31"/>
  <c r="M50" i="31" s="1"/>
  <c r="C50" i="30"/>
  <c r="M50" i="30" s="1"/>
  <c r="B51" i="30"/>
  <c r="G50" i="30"/>
  <c r="I50" i="30" s="1"/>
  <c r="L50" i="30" s="1"/>
  <c r="F50" i="30"/>
  <c r="H50" i="30" s="1"/>
  <c r="J49" i="30"/>
  <c r="K49" i="30"/>
  <c r="O49" i="30" s="1"/>
  <c r="Q48" i="30"/>
  <c r="D37" i="34" s="1"/>
  <c r="P49" i="30"/>
  <c r="N48" i="30"/>
  <c r="N48" i="29"/>
  <c r="Q48" i="29"/>
  <c r="B37" i="34" s="1"/>
  <c r="P49" i="29"/>
  <c r="G50" i="29"/>
  <c r="I50" i="29" s="1"/>
  <c r="L50" i="29" s="1"/>
  <c r="C50" i="29"/>
  <c r="M50" i="29" s="1"/>
  <c r="F50" i="29"/>
  <c r="H50" i="29" s="1"/>
  <c r="B51" i="29"/>
  <c r="J49" i="29"/>
  <c r="K49" i="29"/>
  <c r="O49" i="29" s="1"/>
  <c r="J50" i="24"/>
  <c r="O50" i="24"/>
  <c r="P50" i="24"/>
  <c r="N50" i="24"/>
  <c r="B52" i="24"/>
  <c r="G52" i="24" s="1"/>
  <c r="I51" i="24"/>
  <c r="L51" i="24" s="1"/>
  <c r="F51" i="24"/>
  <c r="H51" i="24" s="1"/>
  <c r="K51" i="24" s="1"/>
  <c r="C51" i="24"/>
  <c r="M51" i="24" s="1"/>
  <c r="Q49" i="24"/>
  <c r="C38" i="34" s="1"/>
  <c r="N49" i="24"/>
  <c r="Q49" i="30" l="1"/>
  <c r="D38" i="34" s="1"/>
  <c r="N49" i="30"/>
  <c r="Q51" i="33"/>
  <c r="N51" i="33"/>
  <c r="P52" i="33"/>
  <c r="J52" i="33"/>
  <c r="K52" i="33"/>
  <c r="O52" i="33" s="1"/>
  <c r="G53" i="33"/>
  <c r="I53" i="33" s="1"/>
  <c r="L53" i="33" s="1"/>
  <c r="B54" i="33"/>
  <c r="F53" i="33"/>
  <c r="H53" i="33" s="1"/>
  <c r="C53" i="33"/>
  <c r="M53" i="33" s="1"/>
  <c r="G51" i="32"/>
  <c r="I51" i="32" s="1"/>
  <c r="L51" i="32" s="1"/>
  <c r="C51" i="32"/>
  <c r="M51" i="32" s="1"/>
  <c r="F51" i="32"/>
  <c r="H51" i="32" s="1"/>
  <c r="B52" i="32"/>
  <c r="J50" i="32"/>
  <c r="K50" i="32"/>
  <c r="O50" i="32" s="1"/>
  <c r="P50" i="32"/>
  <c r="N49" i="32"/>
  <c r="Q49" i="32"/>
  <c r="N49" i="31"/>
  <c r="Q49" i="31"/>
  <c r="E38" i="34" s="1"/>
  <c r="P50" i="31"/>
  <c r="J50" i="31"/>
  <c r="K50" i="31"/>
  <c r="O50" i="31" s="1"/>
  <c r="F51" i="31"/>
  <c r="H51" i="31" s="1"/>
  <c r="G51" i="31"/>
  <c r="I51" i="31" s="1"/>
  <c r="L51" i="31" s="1"/>
  <c r="B52" i="31"/>
  <c r="C51" i="31"/>
  <c r="M51" i="31" s="1"/>
  <c r="B52" i="30"/>
  <c r="G51" i="30"/>
  <c r="I51" i="30" s="1"/>
  <c r="L51" i="30" s="1"/>
  <c r="C51" i="30"/>
  <c r="M51" i="30" s="1"/>
  <c r="F51" i="30"/>
  <c r="H51" i="30" s="1"/>
  <c r="J50" i="30"/>
  <c r="K50" i="30"/>
  <c r="O50" i="30" s="1"/>
  <c r="P50" i="30"/>
  <c r="P50" i="29"/>
  <c r="N49" i="29"/>
  <c r="G51" i="29"/>
  <c r="I51" i="29" s="1"/>
  <c r="L51" i="29" s="1"/>
  <c r="C51" i="29"/>
  <c r="M51" i="29" s="1"/>
  <c r="B52" i="29"/>
  <c r="F51" i="29"/>
  <c r="H51" i="29" s="1"/>
  <c r="J50" i="29"/>
  <c r="K50" i="29"/>
  <c r="O50" i="29" s="1"/>
  <c r="Q49" i="29"/>
  <c r="B38" i="34" s="1"/>
  <c r="Q50" i="24"/>
  <c r="C39" i="34" s="1"/>
  <c r="J51" i="24"/>
  <c r="O51" i="24"/>
  <c r="P51" i="24"/>
  <c r="C52" i="24"/>
  <c r="M52" i="24" s="1"/>
  <c r="I52" i="24"/>
  <c r="L52" i="24" s="1"/>
  <c r="B53" i="24"/>
  <c r="G53" i="24" s="1"/>
  <c r="F52" i="24"/>
  <c r="H52" i="24" s="1"/>
  <c r="K52" i="24" s="1"/>
  <c r="P53" i="33" l="1"/>
  <c r="J53" i="33"/>
  <c r="K53" i="33"/>
  <c r="O53" i="33" s="1"/>
  <c r="C54" i="33"/>
  <c r="M54" i="33" s="1"/>
  <c r="B55" i="33"/>
  <c r="G54" i="33"/>
  <c r="I54" i="33" s="1"/>
  <c r="L54" i="33" s="1"/>
  <c r="F54" i="33"/>
  <c r="H54" i="33" s="1"/>
  <c r="N52" i="33"/>
  <c r="Q52" i="33"/>
  <c r="Q50" i="32"/>
  <c r="N50" i="32"/>
  <c r="G52" i="32"/>
  <c r="I52" i="32" s="1"/>
  <c r="L52" i="32" s="1"/>
  <c r="C52" i="32"/>
  <c r="M52" i="32" s="1"/>
  <c r="B53" i="32"/>
  <c r="F52" i="32"/>
  <c r="H52" i="32" s="1"/>
  <c r="P51" i="32"/>
  <c r="J51" i="32"/>
  <c r="K51" i="32"/>
  <c r="O51" i="32" s="1"/>
  <c r="N50" i="30"/>
  <c r="Q50" i="30"/>
  <c r="D39" i="34" s="1"/>
  <c r="N50" i="31"/>
  <c r="C52" i="31"/>
  <c r="M52" i="31" s="1"/>
  <c r="F52" i="31"/>
  <c r="H52" i="31" s="1"/>
  <c r="G52" i="31"/>
  <c r="I52" i="31" s="1"/>
  <c r="L52" i="31" s="1"/>
  <c r="B53" i="31"/>
  <c r="P51" i="31"/>
  <c r="J51" i="31"/>
  <c r="K51" i="31"/>
  <c r="O51" i="31" s="1"/>
  <c r="Q50" i="31"/>
  <c r="E39" i="34" s="1"/>
  <c r="P51" i="30"/>
  <c r="J51" i="30"/>
  <c r="K51" i="30"/>
  <c r="O51" i="30" s="1"/>
  <c r="C52" i="30"/>
  <c r="M52" i="30" s="1"/>
  <c r="B53" i="30"/>
  <c r="G52" i="30"/>
  <c r="I52" i="30" s="1"/>
  <c r="L52" i="30" s="1"/>
  <c r="F52" i="30"/>
  <c r="H52" i="30" s="1"/>
  <c r="P51" i="29"/>
  <c r="J51" i="29"/>
  <c r="K51" i="29"/>
  <c r="O51" i="29" s="1"/>
  <c r="G52" i="29"/>
  <c r="I52" i="29" s="1"/>
  <c r="L52" i="29" s="1"/>
  <c r="F52" i="29"/>
  <c r="H52" i="29" s="1"/>
  <c r="B53" i="29"/>
  <c r="C52" i="29"/>
  <c r="M52" i="29" s="1"/>
  <c r="Q50" i="29"/>
  <c r="B39" i="34" s="1"/>
  <c r="N50" i="29"/>
  <c r="N51" i="24"/>
  <c r="Q51" i="24"/>
  <c r="C40" i="34" s="1"/>
  <c r="P52" i="24"/>
  <c r="J52" i="24"/>
  <c r="O52" i="24"/>
  <c r="I53" i="24"/>
  <c r="L53" i="24" s="1"/>
  <c r="F53" i="24"/>
  <c r="H53" i="24" s="1"/>
  <c r="K53" i="24" s="1"/>
  <c r="B54" i="24"/>
  <c r="G54" i="24" s="1"/>
  <c r="C53" i="24"/>
  <c r="M53" i="24" s="1"/>
  <c r="N51" i="30" l="1"/>
  <c r="J54" i="33"/>
  <c r="K54" i="33"/>
  <c r="O54" i="33" s="1"/>
  <c r="P54" i="33"/>
  <c r="N53" i="33"/>
  <c r="G55" i="33"/>
  <c r="I55" i="33" s="1"/>
  <c r="L55" i="33" s="1"/>
  <c r="B56" i="33"/>
  <c r="F55" i="33"/>
  <c r="H55" i="33" s="1"/>
  <c r="C55" i="33"/>
  <c r="M55" i="33" s="1"/>
  <c r="Q53" i="33"/>
  <c r="Q51" i="32"/>
  <c r="K52" i="32"/>
  <c r="O52" i="32" s="1"/>
  <c r="J52" i="32"/>
  <c r="C53" i="32"/>
  <c r="M53" i="32" s="1"/>
  <c r="F53" i="32"/>
  <c r="H53" i="32" s="1"/>
  <c r="G53" i="32"/>
  <c r="I53" i="32" s="1"/>
  <c r="L53" i="32" s="1"/>
  <c r="B54" i="32"/>
  <c r="P52" i="32"/>
  <c r="N51" i="32"/>
  <c r="Q51" i="31"/>
  <c r="E40" i="34" s="1"/>
  <c r="N51" i="31"/>
  <c r="G53" i="31"/>
  <c r="I53" i="31" s="1"/>
  <c r="L53" i="31" s="1"/>
  <c r="C53" i="31"/>
  <c r="M53" i="31" s="1"/>
  <c r="F53" i="31"/>
  <c r="H53" i="31" s="1"/>
  <c r="B54" i="31"/>
  <c r="J52" i="31"/>
  <c r="K52" i="31"/>
  <c r="O52" i="31" s="1"/>
  <c r="P52" i="31"/>
  <c r="B54" i="30"/>
  <c r="F53" i="30"/>
  <c r="H53" i="30" s="1"/>
  <c r="C53" i="30"/>
  <c r="M53" i="30" s="1"/>
  <c r="G53" i="30"/>
  <c r="I53" i="30" s="1"/>
  <c r="L53" i="30" s="1"/>
  <c r="J52" i="30"/>
  <c r="K52" i="30"/>
  <c r="O52" i="30" s="1"/>
  <c r="P52" i="30"/>
  <c r="Q51" i="30"/>
  <c r="D40" i="34" s="1"/>
  <c r="N51" i="29"/>
  <c r="P52" i="29"/>
  <c r="B54" i="29"/>
  <c r="F53" i="29"/>
  <c r="H53" i="29" s="1"/>
  <c r="C53" i="29"/>
  <c r="M53" i="29" s="1"/>
  <c r="G53" i="29"/>
  <c r="I53" i="29" s="1"/>
  <c r="L53" i="29" s="1"/>
  <c r="J52" i="29"/>
  <c r="K52" i="29"/>
  <c r="O52" i="29" s="1"/>
  <c r="Q51" i="29"/>
  <c r="B40" i="34" s="1"/>
  <c r="P53" i="24"/>
  <c r="J53" i="24"/>
  <c r="O53" i="24"/>
  <c r="F54" i="24"/>
  <c r="H54" i="24" s="1"/>
  <c r="K54" i="24" s="1"/>
  <c r="I54" i="24"/>
  <c r="L54" i="24" s="1"/>
  <c r="C54" i="24"/>
  <c r="M54" i="24" s="1"/>
  <c r="B55" i="24"/>
  <c r="G55" i="24" s="1"/>
  <c r="N52" i="24"/>
  <c r="Q52" i="24"/>
  <c r="C41" i="34" s="1"/>
  <c r="N52" i="30" l="1"/>
  <c r="Q52" i="32"/>
  <c r="N54" i="33"/>
  <c r="Q54" i="33"/>
  <c r="P55" i="33"/>
  <c r="G56" i="33"/>
  <c r="I56" i="33" s="1"/>
  <c r="L56" i="33" s="1"/>
  <c r="B57" i="33"/>
  <c r="F56" i="33"/>
  <c r="H56" i="33" s="1"/>
  <c r="C56" i="33"/>
  <c r="M56" i="33" s="1"/>
  <c r="J55" i="33"/>
  <c r="K55" i="33"/>
  <c r="O55" i="33" s="1"/>
  <c r="N52" i="32"/>
  <c r="P53" i="32"/>
  <c r="G54" i="32"/>
  <c r="I54" i="32" s="1"/>
  <c r="L54" i="32" s="1"/>
  <c r="F54" i="32"/>
  <c r="H54" i="32" s="1"/>
  <c r="B55" i="32"/>
  <c r="C54" i="32"/>
  <c r="M54" i="32" s="1"/>
  <c r="J53" i="32"/>
  <c r="K53" i="32"/>
  <c r="O53" i="32" s="1"/>
  <c r="Q52" i="31"/>
  <c r="E41" i="34" s="1"/>
  <c r="N52" i="31"/>
  <c r="Q52" i="30"/>
  <c r="D41" i="34" s="1"/>
  <c r="C54" i="31"/>
  <c r="M54" i="31" s="1"/>
  <c r="G54" i="31"/>
  <c r="I54" i="31" s="1"/>
  <c r="L54" i="31" s="1"/>
  <c r="B55" i="31"/>
  <c r="F54" i="31"/>
  <c r="H54" i="31" s="1"/>
  <c r="J53" i="31"/>
  <c r="K53" i="31"/>
  <c r="O53" i="31" s="1"/>
  <c r="P53" i="31"/>
  <c r="J53" i="30"/>
  <c r="K53" i="30"/>
  <c r="O53" i="30" s="1"/>
  <c r="P53" i="30"/>
  <c r="G54" i="30"/>
  <c r="I54" i="30" s="1"/>
  <c r="L54" i="30" s="1"/>
  <c r="B55" i="30"/>
  <c r="F54" i="30"/>
  <c r="H54" i="30" s="1"/>
  <c r="C54" i="30"/>
  <c r="M54" i="30" s="1"/>
  <c r="P53" i="29"/>
  <c r="C54" i="29"/>
  <c r="M54" i="29" s="1"/>
  <c r="B55" i="29"/>
  <c r="G54" i="29"/>
  <c r="I54" i="29" s="1"/>
  <c r="L54" i="29" s="1"/>
  <c r="F54" i="29"/>
  <c r="H54" i="29" s="1"/>
  <c r="J53" i="29"/>
  <c r="K53" i="29"/>
  <c r="O53" i="29" s="1"/>
  <c r="Q52" i="29"/>
  <c r="B41" i="34" s="1"/>
  <c r="N52" i="29"/>
  <c r="F55" i="24"/>
  <c r="H55" i="24" s="1"/>
  <c r="K55" i="24" s="1"/>
  <c r="I55" i="24"/>
  <c r="L55" i="24" s="1"/>
  <c r="C55" i="24"/>
  <c r="M55" i="24" s="1"/>
  <c r="B56" i="24"/>
  <c r="G56" i="24" s="1"/>
  <c r="J54" i="24"/>
  <c r="O54" i="24"/>
  <c r="N53" i="24"/>
  <c r="N54" i="24"/>
  <c r="P54" i="24"/>
  <c r="Q53" i="24"/>
  <c r="C42" i="34" s="1"/>
  <c r="C57" i="33" l="1"/>
  <c r="M57" i="33" s="1"/>
  <c r="B58" i="33"/>
  <c r="G57" i="33"/>
  <c r="I57" i="33" s="1"/>
  <c r="L57" i="33" s="1"/>
  <c r="F57" i="33"/>
  <c r="H57" i="33" s="1"/>
  <c r="P56" i="33"/>
  <c r="N55" i="33"/>
  <c r="K56" i="33"/>
  <c r="O56" i="33" s="1"/>
  <c r="J56" i="33"/>
  <c r="Q55" i="33"/>
  <c r="P54" i="32"/>
  <c r="G55" i="32"/>
  <c r="I55" i="32" s="1"/>
  <c r="L55" i="32" s="1"/>
  <c r="F55" i="32"/>
  <c r="H55" i="32" s="1"/>
  <c r="B56" i="32"/>
  <c r="C55" i="32"/>
  <c r="M55" i="32" s="1"/>
  <c r="J54" i="32"/>
  <c r="K54" i="32"/>
  <c r="O54" i="32" s="1"/>
  <c r="Q53" i="32"/>
  <c r="N53" i="32"/>
  <c r="N53" i="31"/>
  <c r="Q53" i="31"/>
  <c r="E42" i="34" s="1"/>
  <c r="N53" i="30"/>
  <c r="Q53" i="30"/>
  <c r="D42" i="34" s="1"/>
  <c r="J54" i="31"/>
  <c r="K54" i="31"/>
  <c r="O54" i="31" s="1"/>
  <c r="B56" i="31"/>
  <c r="G55" i="31"/>
  <c r="I55" i="31" s="1"/>
  <c r="L55" i="31" s="1"/>
  <c r="F55" i="31"/>
  <c r="H55" i="31" s="1"/>
  <c r="C55" i="31"/>
  <c r="M55" i="31" s="1"/>
  <c r="P54" i="31"/>
  <c r="P54" i="30"/>
  <c r="J54" i="30"/>
  <c r="K54" i="30"/>
  <c r="O54" i="30" s="1"/>
  <c r="F55" i="30"/>
  <c r="H55" i="30" s="1"/>
  <c r="G55" i="30"/>
  <c r="I55" i="30" s="1"/>
  <c r="L55" i="30" s="1"/>
  <c r="B56" i="30"/>
  <c r="C55" i="30"/>
  <c r="M55" i="30" s="1"/>
  <c r="G55" i="29"/>
  <c r="I55" i="29" s="1"/>
  <c r="L55" i="29" s="1"/>
  <c r="F55" i="29"/>
  <c r="H55" i="29" s="1"/>
  <c r="C55" i="29"/>
  <c r="M55" i="29" s="1"/>
  <c r="B56" i="29"/>
  <c r="J54" i="29"/>
  <c r="K54" i="29"/>
  <c r="O54" i="29" s="1"/>
  <c r="P54" i="29"/>
  <c r="N53" i="29"/>
  <c r="Q53" i="29"/>
  <c r="B42" i="34" s="1"/>
  <c r="F56" i="24"/>
  <c r="H56" i="24" s="1"/>
  <c r="K56" i="24" s="1"/>
  <c r="I56" i="24"/>
  <c r="L56" i="24" s="1"/>
  <c r="C56" i="24"/>
  <c r="M56" i="24" s="1"/>
  <c r="B57" i="24"/>
  <c r="G57" i="24" s="1"/>
  <c r="P55" i="24"/>
  <c r="Q54" i="24"/>
  <c r="C43" i="34" s="1"/>
  <c r="J55" i="24"/>
  <c r="O55" i="24"/>
  <c r="N54" i="31" l="1"/>
  <c r="Q54" i="31"/>
  <c r="E43" i="34" s="1"/>
  <c r="J57" i="33"/>
  <c r="K57" i="33"/>
  <c r="O57" i="33" s="1"/>
  <c r="Q56" i="33"/>
  <c r="G58" i="33"/>
  <c r="I58" i="33" s="1"/>
  <c r="L58" i="33" s="1"/>
  <c r="B59" i="33"/>
  <c r="F58" i="33"/>
  <c r="H58" i="33" s="1"/>
  <c r="C58" i="33"/>
  <c r="M58" i="33" s="1"/>
  <c r="N56" i="33"/>
  <c r="P57" i="33"/>
  <c r="Q57" i="33" s="1"/>
  <c r="N57" i="33"/>
  <c r="P55" i="32"/>
  <c r="C56" i="32"/>
  <c r="M56" i="32" s="1"/>
  <c r="G56" i="32"/>
  <c r="I56" i="32" s="1"/>
  <c r="L56" i="32" s="1"/>
  <c r="F56" i="32"/>
  <c r="H56" i="32" s="1"/>
  <c r="B57" i="32"/>
  <c r="N54" i="32"/>
  <c r="J55" i="32"/>
  <c r="K55" i="32"/>
  <c r="O55" i="32" s="1"/>
  <c r="Q54" i="32"/>
  <c r="P55" i="31"/>
  <c r="G56" i="31"/>
  <c r="I56" i="31" s="1"/>
  <c r="L56" i="31" s="1"/>
  <c r="F56" i="31"/>
  <c r="H56" i="31" s="1"/>
  <c r="B57" i="31"/>
  <c r="C56" i="31"/>
  <c r="M56" i="31" s="1"/>
  <c r="J55" i="31"/>
  <c r="K55" i="31"/>
  <c r="O55" i="31" s="1"/>
  <c r="P55" i="30"/>
  <c r="B57" i="30"/>
  <c r="F56" i="30"/>
  <c r="H56" i="30" s="1"/>
  <c r="C56" i="30"/>
  <c r="M56" i="30" s="1"/>
  <c r="G56" i="30"/>
  <c r="I56" i="30" s="1"/>
  <c r="L56" i="30" s="1"/>
  <c r="N54" i="30"/>
  <c r="J55" i="30"/>
  <c r="K55" i="30"/>
  <c r="O55" i="30" s="1"/>
  <c r="Q54" i="30"/>
  <c r="D43" i="34" s="1"/>
  <c r="N54" i="29"/>
  <c r="Q54" i="29"/>
  <c r="B43" i="34" s="1"/>
  <c r="B57" i="29"/>
  <c r="F56" i="29"/>
  <c r="H56" i="29" s="1"/>
  <c r="C56" i="29"/>
  <c r="M56" i="29" s="1"/>
  <c r="G56" i="29"/>
  <c r="I56" i="29" s="1"/>
  <c r="L56" i="29" s="1"/>
  <c r="P55" i="29"/>
  <c r="J55" i="29"/>
  <c r="K55" i="29"/>
  <c r="O55" i="29" s="1"/>
  <c r="Q55" i="24"/>
  <c r="C44" i="34" s="1"/>
  <c r="N55" i="24"/>
  <c r="F57" i="24"/>
  <c r="H57" i="24" s="1"/>
  <c r="K57" i="24" s="1"/>
  <c r="I57" i="24"/>
  <c r="L57" i="24" s="1"/>
  <c r="C57" i="24"/>
  <c r="M57" i="24" s="1"/>
  <c r="B58" i="24"/>
  <c r="G58" i="24" s="1"/>
  <c r="P56" i="24"/>
  <c r="J56" i="24"/>
  <c r="O56" i="24"/>
  <c r="J58" i="33" l="1"/>
  <c r="K58" i="33"/>
  <c r="O58" i="33" s="1"/>
  <c r="P58" i="33"/>
  <c r="G59" i="33"/>
  <c r="I59" i="33" s="1"/>
  <c r="L59" i="33" s="1"/>
  <c r="B60" i="33"/>
  <c r="F59" i="33"/>
  <c r="H59" i="33" s="1"/>
  <c r="C59" i="33"/>
  <c r="M59" i="33" s="1"/>
  <c r="F57" i="32"/>
  <c r="H57" i="32" s="1"/>
  <c r="C57" i="32"/>
  <c r="M57" i="32" s="1"/>
  <c r="B58" i="32"/>
  <c r="G57" i="32"/>
  <c r="I57" i="32" s="1"/>
  <c r="L57" i="32" s="1"/>
  <c r="J56" i="32"/>
  <c r="K56" i="32"/>
  <c r="O56" i="32" s="1"/>
  <c r="Q55" i="32"/>
  <c r="P56" i="32"/>
  <c r="N55" i="32"/>
  <c r="P56" i="31"/>
  <c r="C57" i="31"/>
  <c r="M57" i="31" s="1"/>
  <c r="F57" i="31"/>
  <c r="H57" i="31" s="1"/>
  <c r="G57" i="31"/>
  <c r="I57" i="31" s="1"/>
  <c r="L57" i="31" s="1"/>
  <c r="B58" i="31"/>
  <c r="J56" i="31"/>
  <c r="K56" i="31"/>
  <c r="O56" i="31" s="1"/>
  <c r="N55" i="31"/>
  <c r="Q55" i="31"/>
  <c r="E44" i="34" s="1"/>
  <c r="N55" i="30"/>
  <c r="P56" i="30"/>
  <c r="J56" i="30"/>
  <c r="K56" i="30"/>
  <c r="O56" i="30" s="1"/>
  <c r="G57" i="30"/>
  <c r="I57" i="30" s="1"/>
  <c r="L57" i="30" s="1"/>
  <c r="F57" i="30"/>
  <c r="H57" i="30" s="1"/>
  <c r="C57" i="30"/>
  <c r="M57" i="30" s="1"/>
  <c r="B58" i="30"/>
  <c r="Q55" i="30"/>
  <c r="D44" i="34" s="1"/>
  <c r="N55" i="29"/>
  <c r="Q55" i="29"/>
  <c r="B44" i="34" s="1"/>
  <c r="P56" i="29"/>
  <c r="J56" i="29"/>
  <c r="K56" i="29"/>
  <c r="O56" i="29" s="1"/>
  <c r="F57" i="29"/>
  <c r="H57" i="29" s="1"/>
  <c r="B58" i="29"/>
  <c r="G57" i="29"/>
  <c r="I57" i="29" s="1"/>
  <c r="L57" i="29" s="1"/>
  <c r="C57" i="29"/>
  <c r="M57" i="29" s="1"/>
  <c r="Q56" i="24"/>
  <c r="C45" i="34" s="1"/>
  <c r="N56" i="24"/>
  <c r="F58" i="24"/>
  <c r="H58" i="24" s="1"/>
  <c r="K58" i="24" s="1"/>
  <c r="I58" i="24"/>
  <c r="L58" i="24" s="1"/>
  <c r="B59" i="24"/>
  <c r="G59" i="24" s="1"/>
  <c r="C58" i="24"/>
  <c r="M58" i="24" s="1"/>
  <c r="P57" i="24"/>
  <c r="J57" i="24"/>
  <c r="O57" i="24"/>
  <c r="N58" i="33" l="1"/>
  <c r="Q58" i="33"/>
  <c r="J59" i="33"/>
  <c r="K59" i="33"/>
  <c r="O59" i="33" s="1"/>
  <c r="P59" i="33"/>
  <c r="C60" i="33"/>
  <c r="M60" i="33" s="1"/>
  <c r="G60" i="33"/>
  <c r="I60" i="33" s="1"/>
  <c r="L60" i="33" s="1"/>
  <c r="F60" i="33"/>
  <c r="H60" i="33" s="1"/>
  <c r="B61" i="33"/>
  <c r="Q56" i="32"/>
  <c r="N56" i="32"/>
  <c r="P57" i="32"/>
  <c r="G58" i="32"/>
  <c r="I58" i="32" s="1"/>
  <c r="L58" i="32" s="1"/>
  <c r="C58" i="32"/>
  <c r="M58" i="32" s="1"/>
  <c r="F58" i="32"/>
  <c r="H58" i="32" s="1"/>
  <c r="B59" i="32"/>
  <c r="J57" i="32"/>
  <c r="K57" i="32"/>
  <c r="O57" i="32" s="1"/>
  <c r="Q56" i="30"/>
  <c r="D45" i="34" s="1"/>
  <c r="B59" i="31"/>
  <c r="F58" i="31"/>
  <c r="H58" i="31" s="1"/>
  <c r="G58" i="31"/>
  <c r="I58" i="31" s="1"/>
  <c r="L58" i="31" s="1"/>
  <c r="C58" i="31"/>
  <c r="M58" i="31" s="1"/>
  <c r="J57" i="31"/>
  <c r="K57" i="31"/>
  <c r="O57" i="31" s="1"/>
  <c r="P57" i="31"/>
  <c r="N56" i="31"/>
  <c r="Q56" i="31"/>
  <c r="E45" i="34" s="1"/>
  <c r="F58" i="30"/>
  <c r="H58" i="30" s="1"/>
  <c r="G58" i="30"/>
  <c r="I58" i="30" s="1"/>
  <c r="L58" i="30" s="1"/>
  <c r="B59" i="30"/>
  <c r="C58" i="30"/>
  <c r="M58" i="30" s="1"/>
  <c r="J57" i="30"/>
  <c r="K57" i="30"/>
  <c r="O57" i="30" s="1"/>
  <c r="N56" i="30"/>
  <c r="P57" i="30"/>
  <c r="Q57" i="30" s="1"/>
  <c r="D46" i="34" s="1"/>
  <c r="G58" i="29"/>
  <c r="I58" i="29" s="1"/>
  <c r="L58" i="29" s="1"/>
  <c r="C58" i="29"/>
  <c r="M58" i="29" s="1"/>
  <c r="B59" i="29"/>
  <c r="F58" i="29"/>
  <c r="H58" i="29" s="1"/>
  <c r="Q56" i="29"/>
  <c r="B45" i="34" s="1"/>
  <c r="P57" i="29"/>
  <c r="J57" i="29"/>
  <c r="K57" i="29"/>
  <c r="O57" i="29" s="1"/>
  <c r="N56" i="29"/>
  <c r="Q57" i="24"/>
  <c r="C46" i="34" s="1"/>
  <c r="N57" i="24"/>
  <c r="F59" i="24"/>
  <c r="H59" i="24" s="1"/>
  <c r="K59" i="24" s="1"/>
  <c r="I59" i="24"/>
  <c r="L59" i="24" s="1"/>
  <c r="B60" i="24"/>
  <c r="G60" i="24" s="1"/>
  <c r="C59" i="24"/>
  <c r="M59" i="24" s="1"/>
  <c r="P58" i="24"/>
  <c r="J58" i="24"/>
  <c r="O58" i="24"/>
  <c r="N57" i="30" l="1"/>
  <c r="N59" i="33"/>
  <c r="Q59" i="33"/>
  <c r="J60" i="33"/>
  <c r="K60" i="33"/>
  <c r="O60" i="33" s="1"/>
  <c r="G61" i="33"/>
  <c r="I61" i="33" s="1"/>
  <c r="L61" i="33" s="1"/>
  <c r="B62" i="33"/>
  <c r="F61" i="33"/>
  <c r="H61" i="33" s="1"/>
  <c r="C61" i="33"/>
  <c r="M61" i="33" s="1"/>
  <c r="P60" i="33"/>
  <c r="Q60" i="33" s="1"/>
  <c r="N60" i="33"/>
  <c r="C59" i="32"/>
  <c r="M59" i="32" s="1"/>
  <c r="F59" i="32"/>
  <c r="H59" i="32" s="1"/>
  <c r="B60" i="32"/>
  <c r="G59" i="32"/>
  <c r="I59" i="32" s="1"/>
  <c r="L59" i="32" s="1"/>
  <c r="J58" i="32"/>
  <c r="K58" i="32"/>
  <c r="O58" i="32" s="1"/>
  <c r="P58" i="32"/>
  <c r="N58" i="32"/>
  <c r="N57" i="32"/>
  <c r="Q57" i="32"/>
  <c r="N57" i="31"/>
  <c r="Q57" i="31"/>
  <c r="E46" i="34" s="1"/>
  <c r="P58" i="31"/>
  <c r="J58" i="31"/>
  <c r="K58" i="31"/>
  <c r="O58" i="31" s="1"/>
  <c r="G59" i="31"/>
  <c r="I59" i="31" s="1"/>
  <c r="L59" i="31" s="1"/>
  <c r="F59" i="31"/>
  <c r="H59" i="31" s="1"/>
  <c r="C59" i="31"/>
  <c r="M59" i="31" s="1"/>
  <c r="B60" i="31"/>
  <c r="B60" i="30"/>
  <c r="F59" i="30"/>
  <c r="H59" i="30" s="1"/>
  <c r="G59" i="30"/>
  <c r="I59" i="30" s="1"/>
  <c r="L59" i="30" s="1"/>
  <c r="C59" i="30"/>
  <c r="M59" i="30" s="1"/>
  <c r="P58" i="30"/>
  <c r="J58" i="30"/>
  <c r="K58" i="30"/>
  <c r="O58" i="30" s="1"/>
  <c r="N57" i="29"/>
  <c r="J58" i="29"/>
  <c r="K58" i="29"/>
  <c r="O58" i="29" s="1"/>
  <c r="B60" i="29"/>
  <c r="F59" i="29"/>
  <c r="H59" i="29" s="1"/>
  <c r="C59" i="29"/>
  <c r="M59" i="29" s="1"/>
  <c r="G59" i="29"/>
  <c r="I59" i="29" s="1"/>
  <c r="L59" i="29" s="1"/>
  <c r="Q57" i="29"/>
  <c r="B46" i="34" s="1"/>
  <c r="P58" i="29"/>
  <c r="Q58" i="29" s="1"/>
  <c r="B47" i="34" s="1"/>
  <c r="N58" i="29"/>
  <c r="Q58" i="24"/>
  <c r="C47" i="34" s="1"/>
  <c r="N58" i="24"/>
  <c r="P59" i="24"/>
  <c r="F60" i="24"/>
  <c r="H60" i="24" s="1"/>
  <c r="K60" i="24" s="1"/>
  <c r="B61" i="24"/>
  <c r="G61" i="24" s="1"/>
  <c r="I60" i="24"/>
  <c r="L60" i="24" s="1"/>
  <c r="C60" i="24"/>
  <c r="M60" i="24" s="1"/>
  <c r="J59" i="24"/>
  <c r="O59" i="24"/>
  <c r="J61" i="33" l="1"/>
  <c r="K61" i="33"/>
  <c r="O61" i="33" s="1"/>
  <c r="P61" i="33"/>
  <c r="G62" i="33"/>
  <c r="I62" i="33" s="1"/>
  <c r="L62" i="33" s="1"/>
  <c r="B63" i="33"/>
  <c r="F62" i="33"/>
  <c r="H62" i="33" s="1"/>
  <c r="C62" i="33"/>
  <c r="M62" i="33" s="1"/>
  <c r="Q58" i="32"/>
  <c r="F60" i="32"/>
  <c r="H60" i="32" s="1"/>
  <c r="C60" i="32"/>
  <c r="M60" i="32" s="1"/>
  <c r="G60" i="32"/>
  <c r="I60" i="32" s="1"/>
  <c r="L60" i="32" s="1"/>
  <c r="B61" i="32"/>
  <c r="J59" i="32"/>
  <c r="K59" i="32"/>
  <c r="O59" i="32" s="1"/>
  <c r="P59" i="32"/>
  <c r="P59" i="31"/>
  <c r="J59" i="31"/>
  <c r="K59" i="31"/>
  <c r="O59" i="31" s="1"/>
  <c r="C60" i="31"/>
  <c r="M60" i="31" s="1"/>
  <c r="F60" i="31"/>
  <c r="H60" i="31" s="1"/>
  <c r="B61" i="31"/>
  <c r="G60" i="31"/>
  <c r="I60" i="31" s="1"/>
  <c r="L60" i="31" s="1"/>
  <c r="N58" i="31"/>
  <c r="Q58" i="31"/>
  <c r="E47" i="34" s="1"/>
  <c r="N58" i="30"/>
  <c r="Q58" i="30"/>
  <c r="D47" i="34" s="1"/>
  <c r="P59" i="30"/>
  <c r="J59" i="30"/>
  <c r="K59" i="30"/>
  <c r="O59" i="30" s="1"/>
  <c r="G60" i="30"/>
  <c r="I60" i="30" s="1"/>
  <c r="L60" i="30" s="1"/>
  <c r="C60" i="30"/>
  <c r="M60" i="30" s="1"/>
  <c r="B61" i="30"/>
  <c r="F60" i="30"/>
  <c r="H60" i="30" s="1"/>
  <c r="P59" i="29"/>
  <c r="J59" i="29"/>
  <c r="K59" i="29"/>
  <c r="O59" i="29" s="1"/>
  <c r="C60" i="29"/>
  <c r="M60" i="29" s="1"/>
  <c r="B61" i="29"/>
  <c r="G60" i="29"/>
  <c r="I60" i="29" s="1"/>
  <c r="L60" i="29" s="1"/>
  <c r="F60" i="29"/>
  <c r="H60" i="29" s="1"/>
  <c r="Q59" i="24"/>
  <c r="C48" i="34" s="1"/>
  <c r="J60" i="24"/>
  <c r="O60" i="24"/>
  <c r="P60" i="24"/>
  <c r="N59" i="24"/>
  <c r="F61" i="24"/>
  <c r="H61" i="24" s="1"/>
  <c r="K61" i="24" s="1"/>
  <c r="I61" i="24"/>
  <c r="L61" i="24" s="1"/>
  <c r="B62" i="24"/>
  <c r="G62" i="24" s="1"/>
  <c r="C61" i="24"/>
  <c r="M61" i="24" s="1"/>
  <c r="N61" i="33" l="1"/>
  <c r="Q61" i="33"/>
  <c r="J62" i="33"/>
  <c r="K62" i="33"/>
  <c r="O62" i="33" s="1"/>
  <c r="P62" i="33"/>
  <c r="C63" i="33"/>
  <c r="M63" i="33" s="1"/>
  <c r="B64" i="33"/>
  <c r="G63" i="33"/>
  <c r="I63" i="33" s="1"/>
  <c r="L63" i="33" s="1"/>
  <c r="F63" i="33"/>
  <c r="H63" i="33" s="1"/>
  <c r="N59" i="32"/>
  <c r="Q59" i="32"/>
  <c r="G61" i="32"/>
  <c r="I61" i="32" s="1"/>
  <c r="L61" i="32" s="1"/>
  <c r="F61" i="32"/>
  <c r="H61" i="32" s="1"/>
  <c r="B62" i="32"/>
  <c r="C61" i="32"/>
  <c r="M61" i="32" s="1"/>
  <c r="P60" i="32"/>
  <c r="J60" i="32"/>
  <c r="K60" i="32"/>
  <c r="O60" i="32" s="1"/>
  <c r="J60" i="31"/>
  <c r="K60" i="31"/>
  <c r="O60" i="31" s="1"/>
  <c r="C61" i="31"/>
  <c r="M61" i="31" s="1"/>
  <c r="G61" i="31"/>
  <c r="I61" i="31" s="1"/>
  <c r="L61" i="31" s="1"/>
  <c r="F61" i="31"/>
  <c r="H61" i="31" s="1"/>
  <c r="B62" i="31"/>
  <c r="P60" i="31"/>
  <c r="N59" i="31"/>
  <c r="Q59" i="31"/>
  <c r="E48" i="34" s="1"/>
  <c r="P60" i="30"/>
  <c r="Q59" i="30"/>
  <c r="D48" i="34" s="1"/>
  <c r="J60" i="30"/>
  <c r="K60" i="30"/>
  <c r="O60" i="30" s="1"/>
  <c r="G61" i="30"/>
  <c r="I61" i="30" s="1"/>
  <c r="L61" i="30" s="1"/>
  <c r="B62" i="30"/>
  <c r="F61" i="30"/>
  <c r="H61" i="30" s="1"/>
  <c r="C61" i="30"/>
  <c r="M61" i="30" s="1"/>
  <c r="N59" i="30"/>
  <c r="J60" i="29"/>
  <c r="K60" i="29"/>
  <c r="O60" i="29" s="1"/>
  <c r="G61" i="29"/>
  <c r="I61" i="29" s="1"/>
  <c r="L61" i="29" s="1"/>
  <c r="B62" i="29"/>
  <c r="F61" i="29"/>
  <c r="H61" i="29" s="1"/>
  <c r="C61" i="29"/>
  <c r="M61" i="29" s="1"/>
  <c r="P60" i="29"/>
  <c r="Q60" i="29" s="1"/>
  <c r="B49" i="34" s="1"/>
  <c r="N60" i="29"/>
  <c r="N59" i="29"/>
  <c r="Q59" i="29"/>
  <c r="B48" i="34" s="1"/>
  <c r="Q60" i="24"/>
  <c r="C49" i="34" s="1"/>
  <c r="N60" i="24"/>
  <c r="J61" i="24"/>
  <c r="O61" i="24"/>
  <c r="F62" i="24"/>
  <c r="H62" i="24" s="1"/>
  <c r="K62" i="24" s="1"/>
  <c r="C62" i="24"/>
  <c r="M62" i="24" s="1"/>
  <c r="B63" i="24"/>
  <c r="G63" i="24" s="1"/>
  <c r="I62" i="24"/>
  <c r="L62" i="24" s="1"/>
  <c r="N61" i="24"/>
  <c r="P61" i="24"/>
  <c r="Q60" i="31" l="1"/>
  <c r="E49" i="34" s="1"/>
  <c r="N62" i="33"/>
  <c r="Q62" i="33"/>
  <c r="P63" i="33"/>
  <c r="J63" i="33"/>
  <c r="K63" i="33"/>
  <c r="O63" i="33" s="1"/>
  <c r="G64" i="33"/>
  <c r="I64" i="33" s="1"/>
  <c r="L64" i="33" s="1"/>
  <c r="B65" i="33"/>
  <c r="F64" i="33"/>
  <c r="H64" i="33" s="1"/>
  <c r="C64" i="33"/>
  <c r="M64" i="33" s="1"/>
  <c r="N60" i="32"/>
  <c r="Q60" i="32"/>
  <c r="K61" i="32"/>
  <c r="O61" i="32" s="1"/>
  <c r="J61" i="32"/>
  <c r="P61" i="32"/>
  <c r="C62" i="32"/>
  <c r="M62" i="32" s="1"/>
  <c r="B63" i="32"/>
  <c r="G62" i="32"/>
  <c r="I62" i="32" s="1"/>
  <c r="L62" i="32" s="1"/>
  <c r="F62" i="32"/>
  <c r="H62" i="32" s="1"/>
  <c r="N60" i="31"/>
  <c r="G62" i="31"/>
  <c r="I62" i="31" s="1"/>
  <c r="L62" i="31" s="1"/>
  <c r="F62" i="31"/>
  <c r="H62" i="31" s="1"/>
  <c r="B63" i="31"/>
  <c r="C62" i="31"/>
  <c r="M62" i="31" s="1"/>
  <c r="P61" i="31"/>
  <c r="J61" i="31"/>
  <c r="K61" i="31"/>
  <c r="O61" i="31" s="1"/>
  <c r="J61" i="30"/>
  <c r="K61" i="30"/>
  <c r="O61" i="30" s="1"/>
  <c r="G62" i="30"/>
  <c r="I62" i="30" s="1"/>
  <c r="L62" i="30" s="1"/>
  <c r="B63" i="30"/>
  <c r="F62" i="30"/>
  <c r="H62" i="30" s="1"/>
  <c r="C62" i="30"/>
  <c r="M62" i="30" s="1"/>
  <c r="N60" i="30"/>
  <c r="P61" i="30"/>
  <c r="Q60" i="30"/>
  <c r="D49" i="34" s="1"/>
  <c r="J61" i="29"/>
  <c r="K61" i="29"/>
  <c r="O61" i="29" s="1"/>
  <c r="B63" i="29"/>
  <c r="F62" i="29"/>
  <c r="H62" i="29" s="1"/>
  <c r="C62" i="29"/>
  <c r="M62" i="29" s="1"/>
  <c r="G62" i="29"/>
  <c r="I62" i="29" s="1"/>
  <c r="L62" i="29" s="1"/>
  <c r="N61" i="29"/>
  <c r="P61" i="29"/>
  <c r="Q61" i="29" s="1"/>
  <c r="B50" i="34" s="1"/>
  <c r="Q61" i="24"/>
  <c r="C50" i="34" s="1"/>
  <c r="J62" i="24"/>
  <c r="O62" i="24"/>
  <c r="F63" i="24"/>
  <c r="H63" i="24" s="1"/>
  <c r="K63" i="24" s="1"/>
  <c r="I63" i="24"/>
  <c r="L63" i="24" s="1"/>
  <c r="C63" i="24"/>
  <c r="M63" i="24" s="1"/>
  <c r="B64" i="24"/>
  <c r="G64" i="24" s="1"/>
  <c r="N62" i="24"/>
  <c r="P62" i="24"/>
  <c r="P64" i="33" l="1"/>
  <c r="G65" i="33"/>
  <c r="I65" i="33" s="1"/>
  <c r="L65" i="33" s="1"/>
  <c r="B66" i="33"/>
  <c r="F65" i="33"/>
  <c r="H65" i="33" s="1"/>
  <c r="C65" i="33"/>
  <c r="M65" i="33" s="1"/>
  <c r="J64" i="33"/>
  <c r="K64" i="33"/>
  <c r="O64" i="33" s="1"/>
  <c r="N63" i="33"/>
  <c r="Q63" i="33"/>
  <c r="Q61" i="32"/>
  <c r="N61" i="32"/>
  <c r="P62" i="32"/>
  <c r="F63" i="32"/>
  <c r="H63" i="32" s="1"/>
  <c r="C63" i="32"/>
  <c r="M63" i="32" s="1"/>
  <c r="G63" i="32"/>
  <c r="I63" i="32" s="1"/>
  <c r="L63" i="32" s="1"/>
  <c r="B64" i="32"/>
  <c r="J62" i="32"/>
  <c r="K62" i="32"/>
  <c r="O62" i="32" s="1"/>
  <c r="N61" i="30"/>
  <c r="Q61" i="30"/>
  <c r="D50" i="34" s="1"/>
  <c r="Q61" i="31"/>
  <c r="E50" i="34" s="1"/>
  <c r="N61" i="31"/>
  <c r="P62" i="31"/>
  <c r="C63" i="31"/>
  <c r="M63" i="31" s="1"/>
  <c r="B64" i="31"/>
  <c r="G63" i="31"/>
  <c r="I63" i="31" s="1"/>
  <c r="L63" i="31" s="1"/>
  <c r="F63" i="31"/>
  <c r="H63" i="31" s="1"/>
  <c r="J62" i="31"/>
  <c r="K62" i="31"/>
  <c r="O62" i="31" s="1"/>
  <c r="P62" i="30"/>
  <c r="J62" i="30"/>
  <c r="K62" i="30"/>
  <c r="O62" i="30" s="1"/>
  <c r="C63" i="30"/>
  <c r="M63" i="30" s="1"/>
  <c r="B64" i="30"/>
  <c r="G63" i="30"/>
  <c r="I63" i="30" s="1"/>
  <c r="L63" i="30" s="1"/>
  <c r="F63" i="30"/>
  <c r="H63" i="30" s="1"/>
  <c r="J62" i="29"/>
  <c r="K62" i="29"/>
  <c r="O62" i="29" s="1"/>
  <c r="P62" i="29"/>
  <c r="C63" i="29"/>
  <c r="M63" i="29" s="1"/>
  <c r="B64" i="29"/>
  <c r="G63" i="29"/>
  <c r="I63" i="29" s="1"/>
  <c r="L63" i="29" s="1"/>
  <c r="F63" i="29"/>
  <c r="H63" i="29" s="1"/>
  <c r="Q62" i="24"/>
  <c r="C51" i="34" s="1"/>
  <c r="F64" i="24"/>
  <c r="H64" i="24" s="1"/>
  <c r="K64" i="24" s="1"/>
  <c r="B65" i="24"/>
  <c r="G65" i="24" s="1"/>
  <c r="I64" i="24"/>
  <c r="L64" i="24" s="1"/>
  <c r="C64" i="24"/>
  <c r="M64" i="24" s="1"/>
  <c r="J63" i="24"/>
  <c r="O63" i="24"/>
  <c r="N63" i="24"/>
  <c r="P63" i="24"/>
  <c r="C66" i="33" l="1"/>
  <c r="M66" i="33" s="1"/>
  <c r="B67" i="33"/>
  <c r="G66" i="33"/>
  <c r="I66" i="33" s="1"/>
  <c r="L66" i="33" s="1"/>
  <c r="F66" i="33"/>
  <c r="H66" i="33" s="1"/>
  <c r="P65" i="33"/>
  <c r="N64" i="33"/>
  <c r="K65" i="33"/>
  <c r="O65" i="33" s="1"/>
  <c r="J65" i="33"/>
  <c r="Q64" i="33"/>
  <c r="G64" i="32"/>
  <c r="I64" i="32" s="1"/>
  <c r="L64" i="32" s="1"/>
  <c r="C64" i="32"/>
  <c r="M64" i="32" s="1"/>
  <c r="B65" i="32"/>
  <c r="F64" i="32"/>
  <c r="H64" i="32" s="1"/>
  <c r="P63" i="32"/>
  <c r="N62" i="32"/>
  <c r="J63" i="32"/>
  <c r="K63" i="32"/>
  <c r="O63" i="32" s="1"/>
  <c r="Q62" i="32"/>
  <c r="B65" i="31"/>
  <c r="C64" i="31"/>
  <c r="M64" i="31" s="1"/>
  <c r="G64" i="31"/>
  <c r="I64" i="31" s="1"/>
  <c r="L64" i="31" s="1"/>
  <c r="F64" i="31"/>
  <c r="H64" i="31" s="1"/>
  <c r="J63" i="31"/>
  <c r="K63" i="31"/>
  <c r="O63" i="31" s="1"/>
  <c r="P63" i="31"/>
  <c r="N62" i="31"/>
  <c r="Q62" i="31"/>
  <c r="E51" i="34" s="1"/>
  <c r="J63" i="30"/>
  <c r="K63" i="30"/>
  <c r="O63" i="30" s="1"/>
  <c r="G64" i="30"/>
  <c r="I64" i="30" s="1"/>
  <c r="L64" i="30" s="1"/>
  <c r="C64" i="30"/>
  <c r="M64" i="30" s="1"/>
  <c r="B65" i="30"/>
  <c r="F64" i="30"/>
  <c r="H64" i="30" s="1"/>
  <c r="P63" i="30"/>
  <c r="Q62" i="30"/>
  <c r="D51" i="34" s="1"/>
  <c r="N62" i="30"/>
  <c r="N62" i="29"/>
  <c r="Q62" i="29"/>
  <c r="B51" i="34" s="1"/>
  <c r="J63" i="29"/>
  <c r="K63" i="29"/>
  <c r="O63" i="29" s="1"/>
  <c r="G64" i="29"/>
  <c r="I64" i="29" s="1"/>
  <c r="L64" i="29" s="1"/>
  <c r="C64" i="29"/>
  <c r="M64" i="29" s="1"/>
  <c r="B65" i="29"/>
  <c r="F64" i="29"/>
  <c r="H64" i="29" s="1"/>
  <c r="P63" i="29"/>
  <c r="Q63" i="29" s="1"/>
  <c r="B52" i="34" s="1"/>
  <c r="N63" i="29"/>
  <c r="Q63" i="24"/>
  <c r="C52" i="34" s="1"/>
  <c r="P64" i="24"/>
  <c r="F65" i="24"/>
  <c r="H65" i="24" s="1"/>
  <c r="K65" i="24" s="1"/>
  <c r="I65" i="24"/>
  <c r="L65" i="24" s="1"/>
  <c r="C65" i="24"/>
  <c r="M65" i="24" s="1"/>
  <c r="B66" i="24"/>
  <c r="G66" i="24" s="1"/>
  <c r="J64" i="24"/>
  <c r="O64" i="24"/>
  <c r="N63" i="31" l="1"/>
  <c r="J66" i="33"/>
  <c r="K66" i="33"/>
  <c r="O66" i="33" s="1"/>
  <c r="Q65" i="33"/>
  <c r="G67" i="33"/>
  <c r="I67" i="33" s="1"/>
  <c r="L67" i="33" s="1"/>
  <c r="B68" i="33"/>
  <c r="F67" i="33"/>
  <c r="H67" i="33" s="1"/>
  <c r="C67" i="33"/>
  <c r="M67" i="33" s="1"/>
  <c r="N65" i="33"/>
  <c r="P66" i="33"/>
  <c r="Q66" i="33" s="1"/>
  <c r="N66" i="33"/>
  <c r="Q63" i="32"/>
  <c r="K64" i="32"/>
  <c r="O64" i="32" s="1"/>
  <c r="J64" i="32"/>
  <c r="N63" i="32"/>
  <c r="C65" i="32"/>
  <c r="M65" i="32" s="1"/>
  <c r="F65" i="32"/>
  <c r="H65" i="32" s="1"/>
  <c r="B66" i="32"/>
  <c r="G65" i="32"/>
  <c r="I65" i="32" s="1"/>
  <c r="L65" i="32" s="1"/>
  <c r="P64" i="32"/>
  <c r="Q63" i="31"/>
  <c r="E52" i="34" s="1"/>
  <c r="N63" i="30"/>
  <c r="Q63" i="30"/>
  <c r="D52" i="34" s="1"/>
  <c r="J64" i="31"/>
  <c r="K64" i="31"/>
  <c r="O64" i="31" s="1"/>
  <c r="P64" i="31"/>
  <c r="G65" i="31"/>
  <c r="I65" i="31" s="1"/>
  <c r="L65" i="31" s="1"/>
  <c r="F65" i="31"/>
  <c r="H65" i="31" s="1"/>
  <c r="B66" i="31"/>
  <c r="C65" i="31"/>
  <c r="M65" i="31" s="1"/>
  <c r="G65" i="30"/>
  <c r="I65" i="30" s="1"/>
  <c r="L65" i="30" s="1"/>
  <c r="B66" i="30"/>
  <c r="F65" i="30"/>
  <c r="H65" i="30" s="1"/>
  <c r="C65" i="30"/>
  <c r="M65" i="30" s="1"/>
  <c r="J64" i="30"/>
  <c r="K64" i="30"/>
  <c r="O64" i="30" s="1"/>
  <c r="P64" i="30"/>
  <c r="B66" i="29"/>
  <c r="F65" i="29"/>
  <c r="H65" i="29" s="1"/>
  <c r="C65" i="29"/>
  <c r="M65" i="29" s="1"/>
  <c r="G65" i="29"/>
  <c r="I65" i="29" s="1"/>
  <c r="L65" i="29" s="1"/>
  <c r="P64" i="29"/>
  <c r="J64" i="29"/>
  <c r="K64" i="29"/>
  <c r="O64" i="29" s="1"/>
  <c r="F66" i="24"/>
  <c r="H66" i="24" s="1"/>
  <c r="K66" i="24" s="1"/>
  <c r="I66" i="24"/>
  <c r="L66" i="24" s="1"/>
  <c r="B67" i="24"/>
  <c r="G67" i="24" s="1"/>
  <c r="C66" i="24"/>
  <c r="M66" i="24" s="1"/>
  <c r="P65" i="24"/>
  <c r="J65" i="24"/>
  <c r="O65" i="24"/>
  <c r="Q64" i="24"/>
  <c r="C53" i="34" s="1"/>
  <c r="N64" i="24"/>
  <c r="Q64" i="30" l="1"/>
  <c r="D53" i="34" s="1"/>
  <c r="N64" i="30"/>
  <c r="G68" i="33"/>
  <c r="I68" i="33" s="1"/>
  <c r="L68" i="33" s="1"/>
  <c r="B69" i="33"/>
  <c r="F68" i="33"/>
  <c r="H68" i="33" s="1"/>
  <c r="C68" i="33"/>
  <c r="M68" i="33" s="1"/>
  <c r="J67" i="33"/>
  <c r="K67" i="33"/>
  <c r="O67" i="33" s="1"/>
  <c r="P67" i="33"/>
  <c r="N64" i="32"/>
  <c r="Q64" i="32"/>
  <c r="F66" i="32"/>
  <c r="H66" i="32" s="1"/>
  <c r="C66" i="32"/>
  <c r="M66" i="32" s="1"/>
  <c r="B67" i="32"/>
  <c r="G66" i="32"/>
  <c r="I66" i="32" s="1"/>
  <c r="L66" i="32" s="1"/>
  <c r="J65" i="32"/>
  <c r="K65" i="32"/>
  <c r="O65" i="32" s="1"/>
  <c r="P65" i="32"/>
  <c r="Q64" i="31"/>
  <c r="E53" i="34" s="1"/>
  <c r="N64" i="31"/>
  <c r="P65" i="31"/>
  <c r="C66" i="31"/>
  <c r="M66" i="31" s="1"/>
  <c r="B67" i="31"/>
  <c r="G66" i="31"/>
  <c r="I66" i="31" s="1"/>
  <c r="L66" i="31" s="1"/>
  <c r="F66" i="31"/>
  <c r="H66" i="31" s="1"/>
  <c r="J65" i="31"/>
  <c r="K65" i="31"/>
  <c r="O65" i="31" s="1"/>
  <c r="J65" i="30"/>
  <c r="K65" i="30"/>
  <c r="O65" i="30" s="1"/>
  <c r="P65" i="30"/>
  <c r="C66" i="30"/>
  <c r="M66" i="30" s="1"/>
  <c r="F66" i="30"/>
  <c r="H66" i="30" s="1"/>
  <c r="B67" i="30"/>
  <c r="G66" i="30"/>
  <c r="I66" i="30" s="1"/>
  <c r="L66" i="30" s="1"/>
  <c r="Q64" i="29"/>
  <c r="B53" i="34" s="1"/>
  <c r="N64" i="29"/>
  <c r="J65" i="29"/>
  <c r="K65" i="29"/>
  <c r="O65" i="29" s="1"/>
  <c r="P65" i="29"/>
  <c r="F66" i="29"/>
  <c r="H66" i="29" s="1"/>
  <c r="C66" i="29"/>
  <c r="M66" i="29" s="1"/>
  <c r="B67" i="29"/>
  <c r="G66" i="29"/>
  <c r="I66" i="29" s="1"/>
  <c r="L66" i="29" s="1"/>
  <c r="Q65" i="24"/>
  <c r="C54" i="34" s="1"/>
  <c r="P66" i="24"/>
  <c r="F67" i="24"/>
  <c r="H67" i="24" s="1"/>
  <c r="K67" i="24" s="1"/>
  <c r="C67" i="24"/>
  <c r="M67" i="24" s="1"/>
  <c r="B68" i="24"/>
  <c r="G68" i="24" s="1"/>
  <c r="I67" i="24"/>
  <c r="L67" i="24" s="1"/>
  <c r="N65" i="24"/>
  <c r="J66" i="24"/>
  <c r="O66" i="24"/>
  <c r="N67" i="33" l="1"/>
  <c r="Q67" i="33"/>
  <c r="J68" i="33"/>
  <c r="K68" i="33"/>
  <c r="O68" i="33" s="1"/>
  <c r="C69" i="33"/>
  <c r="M69" i="33" s="1"/>
  <c r="G69" i="33"/>
  <c r="I69" i="33" s="1"/>
  <c r="L69" i="33" s="1"/>
  <c r="F69" i="33"/>
  <c r="H69" i="33" s="1"/>
  <c r="B70" i="33"/>
  <c r="P68" i="33"/>
  <c r="Q68" i="33" s="1"/>
  <c r="N68" i="33"/>
  <c r="Q65" i="32"/>
  <c r="N65" i="32"/>
  <c r="P66" i="32"/>
  <c r="G67" i="32"/>
  <c r="I67" i="32" s="1"/>
  <c r="L67" i="32" s="1"/>
  <c r="F67" i="32"/>
  <c r="H67" i="32" s="1"/>
  <c r="C67" i="32"/>
  <c r="M67" i="32" s="1"/>
  <c r="B68" i="32"/>
  <c r="J66" i="32"/>
  <c r="K66" i="32"/>
  <c r="O66" i="32" s="1"/>
  <c r="N65" i="30"/>
  <c r="Q65" i="30"/>
  <c r="D54" i="34" s="1"/>
  <c r="J66" i="31"/>
  <c r="K66" i="31"/>
  <c r="O66" i="31" s="1"/>
  <c r="C67" i="31"/>
  <c r="M67" i="31" s="1"/>
  <c r="B68" i="31"/>
  <c r="G67" i="31"/>
  <c r="I67" i="31" s="1"/>
  <c r="L67" i="31" s="1"/>
  <c r="F67" i="31"/>
  <c r="H67" i="31" s="1"/>
  <c r="P66" i="31"/>
  <c r="Q65" i="31"/>
  <c r="E54" i="34" s="1"/>
  <c r="N65" i="31"/>
  <c r="J66" i="30"/>
  <c r="K66" i="30"/>
  <c r="O66" i="30" s="1"/>
  <c r="C67" i="30"/>
  <c r="M67" i="30" s="1"/>
  <c r="G67" i="30"/>
  <c r="I67" i="30" s="1"/>
  <c r="L67" i="30" s="1"/>
  <c r="B68" i="30"/>
  <c r="F67" i="30"/>
  <c r="H67" i="30" s="1"/>
  <c r="P66" i="30"/>
  <c r="Q65" i="29"/>
  <c r="B54" i="34" s="1"/>
  <c r="N65" i="29"/>
  <c r="G67" i="29"/>
  <c r="I67" i="29" s="1"/>
  <c r="L67" i="29" s="1"/>
  <c r="B68" i="29"/>
  <c r="F67" i="29"/>
  <c r="H67" i="29" s="1"/>
  <c r="C67" i="29"/>
  <c r="M67" i="29" s="1"/>
  <c r="P66" i="29"/>
  <c r="J66" i="29"/>
  <c r="K66" i="29"/>
  <c r="O66" i="29" s="1"/>
  <c r="Q66" i="24"/>
  <c r="C55" i="34" s="1"/>
  <c r="P67" i="24"/>
  <c r="J67" i="24"/>
  <c r="O67" i="24"/>
  <c r="F68" i="24"/>
  <c r="H68" i="24" s="1"/>
  <c r="K68" i="24" s="1"/>
  <c r="B69" i="24"/>
  <c r="G69" i="24" s="1"/>
  <c r="C68" i="24"/>
  <c r="M68" i="24" s="1"/>
  <c r="I68" i="24"/>
  <c r="L68" i="24" s="1"/>
  <c r="N66" i="24"/>
  <c r="N66" i="31" l="1"/>
  <c r="P69" i="33"/>
  <c r="J69" i="33"/>
  <c r="K69" i="33"/>
  <c r="O69" i="33" s="1"/>
  <c r="G70" i="33"/>
  <c r="I70" i="33" s="1"/>
  <c r="L70" i="33" s="1"/>
  <c r="B71" i="33"/>
  <c r="F70" i="33"/>
  <c r="H70" i="33" s="1"/>
  <c r="C70" i="33"/>
  <c r="M70" i="33" s="1"/>
  <c r="C68" i="32"/>
  <c r="M68" i="32" s="1"/>
  <c r="B69" i="32"/>
  <c r="G68" i="32"/>
  <c r="I68" i="32" s="1"/>
  <c r="L68" i="32" s="1"/>
  <c r="F68" i="32"/>
  <c r="H68" i="32" s="1"/>
  <c r="P67" i="32"/>
  <c r="J67" i="32"/>
  <c r="K67" i="32"/>
  <c r="O67" i="32" s="1"/>
  <c r="N66" i="32"/>
  <c r="Q66" i="32"/>
  <c r="Q66" i="31"/>
  <c r="E55" i="34" s="1"/>
  <c r="N66" i="30"/>
  <c r="Q66" i="30"/>
  <c r="D55" i="34" s="1"/>
  <c r="J67" i="31"/>
  <c r="K67" i="31"/>
  <c r="O67" i="31" s="1"/>
  <c r="G68" i="31"/>
  <c r="I68" i="31" s="1"/>
  <c r="L68" i="31" s="1"/>
  <c r="F68" i="31"/>
  <c r="H68" i="31" s="1"/>
  <c r="B69" i="31"/>
  <c r="C68" i="31"/>
  <c r="M68" i="31" s="1"/>
  <c r="P67" i="31"/>
  <c r="J67" i="30"/>
  <c r="K67" i="30"/>
  <c r="O67" i="30" s="1"/>
  <c r="G68" i="30"/>
  <c r="I68" i="30" s="1"/>
  <c r="L68" i="30" s="1"/>
  <c r="B69" i="30"/>
  <c r="F68" i="30"/>
  <c r="H68" i="30" s="1"/>
  <c r="C68" i="30"/>
  <c r="M68" i="30" s="1"/>
  <c r="P67" i="30"/>
  <c r="N66" i="29"/>
  <c r="Q66" i="29"/>
  <c r="B55" i="34" s="1"/>
  <c r="B69" i="29"/>
  <c r="F68" i="29"/>
  <c r="H68" i="29" s="1"/>
  <c r="C68" i="29"/>
  <c r="M68" i="29" s="1"/>
  <c r="G68" i="29"/>
  <c r="I68" i="29" s="1"/>
  <c r="L68" i="29" s="1"/>
  <c r="P67" i="29"/>
  <c r="J67" i="29"/>
  <c r="K67" i="29"/>
  <c r="O67" i="29" s="1"/>
  <c r="F69" i="24"/>
  <c r="H69" i="24" s="1"/>
  <c r="K69" i="24" s="1"/>
  <c r="I69" i="24"/>
  <c r="L69" i="24" s="1"/>
  <c r="B70" i="24"/>
  <c r="G70" i="24" s="1"/>
  <c r="C69" i="24"/>
  <c r="M69" i="24" s="1"/>
  <c r="N68" i="24"/>
  <c r="P68" i="24"/>
  <c r="Q67" i="24"/>
  <c r="C56" i="34" s="1"/>
  <c r="J68" i="24"/>
  <c r="O68" i="24"/>
  <c r="N67" i="24"/>
  <c r="N67" i="31" l="1"/>
  <c r="Q67" i="31"/>
  <c r="E56" i="34" s="1"/>
  <c r="P70" i="33"/>
  <c r="G71" i="33"/>
  <c r="I71" i="33" s="1"/>
  <c r="L71" i="33" s="1"/>
  <c r="B72" i="33"/>
  <c r="F71" i="33"/>
  <c r="H71" i="33" s="1"/>
  <c r="C71" i="33"/>
  <c r="M71" i="33" s="1"/>
  <c r="N69" i="33"/>
  <c r="J70" i="33"/>
  <c r="K70" i="33"/>
  <c r="O70" i="33" s="1"/>
  <c r="Q69" i="33"/>
  <c r="N67" i="32"/>
  <c r="J68" i="32"/>
  <c r="K68" i="32"/>
  <c r="O68" i="32" s="1"/>
  <c r="F69" i="32"/>
  <c r="H69" i="32" s="1"/>
  <c r="C69" i="32"/>
  <c r="M69" i="32" s="1"/>
  <c r="G69" i="32"/>
  <c r="I69" i="32" s="1"/>
  <c r="L69" i="32" s="1"/>
  <c r="B70" i="32"/>
  <c r="Q67" i="32"/>
  <c r="P68" i="32"/>
  <c r="N67" i="30"/>
  <c r="Q67" i="30"/>
  <c r="D56" i="34" s="1"/>
  <c r="P68" i="31"/>
  <c r="C69" i="31"/>
  <c r="M69" i="31" s="1"/>
  <c r="B70" i="31"/>
  <c r="G69" i="31"/>
  <c r="I69" i="31" s="1"/>
  <c r="L69" i="31" s="1"/>
  <c r="F69" i="31"/>
  <c r="H69" i="31" s="1"/>
  <c r="J68" i="31"/>
  <c r="K68" i="31"/>
  <c r="O68" i="31" s="1"/>
  <c r="P68" i="30"/>
  <c r="J68" i="30"/>
  <c r="K68" i="30"/>
  <c r="O68" i="30" s="1"/>
  <c r="C69" i="30"/>
  <c r="M69" i="30" s="1"/>
  <c r="G69" i="30"/>
  <c r="I69" i="30" s="1"/>
  <c r="L69" i="30" s="1"/>
  <c r="F69" i="30"/>
  <c r="H69" i="30" s="1"/>
  <c r="B70" i="30"/>
  <c r="Q67" i="29"/>
  <c r="B56" i="34" s="1"/>
  <c r="P68" i="29"/>
  <c r="N67" i="29"/>
  <c r="J68" i="29"/>
  <c r="K68" i="29"/>
  <c r="O68" i="29" s="1"/>
  <c r="B70" i="29"/>
  <c r="G69" i="29"/>
  <c r="I69" i="29" s="1"/>
  <c r="L69" i="29" s="1"/>
  <c r="F69" i="29"/>
  <c r="H69" i="29" s="1"/>
  <c r="C69" i="29"/>
  <c r="M69" i="29" s="1"/>
  <c r="Q68" i="24"/>
  <c r="C57" i="34" s="1"/>
  <c r="P69" i="24"/>
  <c r="F70" i="24"/>
  <c r="H70" i="24" s="1"/>
  <c r="K70" i="24" s="1"/>
  <c r="I70" i="24"/>
  <c r="L70" i="24" s="1"/>
  <c r="B71" i="24"/>
  <c r="G71" i="24" s="1"/>
  <c r="C70" i="24"/>
  <c r="M70" i="24" s="1"/>
  <c r="J69" i="24"/>
  <c r="O69" i="24"/>
  <c r="C72" i="33" l="1"/>
  <c r="M72" i="33" s="1"/>
  <c r="B73" i="33"/>
  <c r="G72" i="33"/>
  <c r="I72" i="33" s="1"/>
  <c r="L72" i="33" s="1"/>
  <c r="F72" i="33"/>
  <c r="H72" i="33" s="1"/>
  <c r="P71" i="33"/>
  <c r="N70" i="33"/>
  <c r="J71" i="33"/>
  <c r="K71" i="33"/>
  <c r="O71" i="33" s="1"/>
  <c r="Q70" i="33"/>
  <c r="N68" i="32"/>
  <c r="Q68" i="32"/>
  <c r="G70" i="32"/>
  <c r="I70" i="32" s="1"/>
  <c r="L70" i="32" s="1"/>
  <c r="C70" i="32"/>
  <c r="M70" i="32" s="1"/>
  <c r="B71" i="32"/>
  <c r="F70" i="32"/>
  <c r="H70" i="32" s="1"/>
  <c r="P69" i="32"/>
  <c r="J69" i="32"/>
  <c r="K69" i="32"/>
  <c r="O69" i="32" s="1"/>
  <c r="K69" i="31"/>
  <c r="O69" i="31" s="1"/>
  <c r="J69" i="31"/>
  <c r="G70" i="31"/>
  <c r="I70" i="31" s="1"/>
  <c r="L70" i="31" s="1"/>
  <c r="C70" i="31"/>
  <c r="M70" i="31" s="1"/>
  <c r="B71" i="31"/>
  <c r="F70" i="31"/>
  <c r="H70" i="31" s="1"/>
  <c r="P69" i="31"/>
  <c r="N68" i="31"/>
  <c r="Q68" i="31"/>
  <c r="E57" i="34" s="1"/>
  <c r="G70" i="30"/>
  <c r="I70" i="30" s="1"/>
  <c r="L70" i="30" s="1"/>
  <c r="B71" i="30"/>
  <c r="C70" i="30"/>
  <c r="M70" i="30" s="1"/>
  <c r="F70" i="30"/>
  <c r="H70" i="30" s="1"/>
  <c r="J69" i="30"/>
  <c r="K69" i="30"/>
  <c r="O69" i="30" s="1"/>
  <c r="P69" i="30"/>
  <c r="Q68" i="30"/>
  <c r="D57" i="34" s="1"/>
  <c r="N68" i="30"/>
  <c r="P69" i="29"/>
  <c r="G70" i="29"/>
  <c r="I70" i="29" s="1"/>
  <c r="L70" i="29" s="1"/>
  <c r="F70" i="29"/>
  <c r="H70" i="29" s="1"/>
  <c r="C70" i="29"/>
  <c r="M70" i="29" s="1"/>
  <c r="B71" i="29"/>
  <c r="J69" i="29"/>
  <c r="K69" i="29"/>
  <c r="O69" i="29" s="1"/>
  <c r="Q68" i="29"/>
  <c r="B57" i="34" s="1"/>
  <c r="N68" i="29"/>
  <c r="P70" i="24"/>
  <c r="F71" i="24"/>
  <c r="H71" i="24" s="1"/>
  <c r="K71" i="24" s="1"/>
  <c r="C71" i="24"/>
  <c r="M71" i="24" s="1"/>
  <c r="B72" i="24"/>
  <c r="G72" i="24" s="1"/>
  <c r="I71" i="24"/>
  <c r="L71" i="24" s="1"/>
  <c r="J70" i="24"/>
  <c r="O70" i="24"/>
  <c r="Q69" i="24"/>
  <c r="C58" i="34" s="1"/>
  <c r="N69" i="24"/>
  <c r="J72" i="33" l="1"/>
  <c r="K72" i="33"/>
  <c r="O72" i="33" s="1"/>
  <c r="Q71" i="33"/>
  <c r="G73" i="33"/>
  <c r="I73" i="33" s="1"/>
  <c r="L73" i="33" s="1"/>
  <c r="B74" i="33"/>
  <c r="F73" i="33"/>
  <c r="H73" i="33" s="1"/>
  <c r="C73" i="33"/>
  <c r="M73" i="33" s="1"/>
  <c r="N71" i="33"/>
  <c r="P72" i="33"/>
  <c r="Q72" i="33" s="1"/>
  <c r="N72" i="33"/>
  <c r="N69" i="32"/>
  <c r="Q69" i="32"/>
  <c r="K70" i="32"/>
  <c r="O70" i="32" s="1"/>
  <c r="J70" i="32"/>
  <c r="C71" i="32"/>
  <c r="M71" i="32" s="1"/>
  <c r="F71" i="32"/>
  <c r="H71" i="32" s="1"/>
  <c r="B72" i="32"/>
  <c r="G71" i="32"/>
  <c r="I71" i="32" s="1"/>
  <c r="L71" i="32" s="1"/>
  <c r="P70" i="32"/>
  <c r="N69" i="31"/>
  <c r="Q69" i="31"/>
  <c r="E58" i="34" s="1"/>
  <c r="N69" i="30"/>
  <c r="Q69" i="30"/>
  <c r="D58" i="34" s="1"/>
  <c r="J70" i="31"/>
  <c r="K70" i="31"/>
  <c r="O70" i="31" s="1"/>
  <c r="G71" i="31"/>
  <c r="I71" i="31" s="1"/>
  <c r="L71" i="31" s="1"/>
  <c r="F71" i="31"/>
  <c r="H71" i="31" s="1"/>
  <c r="B72" i="31"/>
  <c r="C71" i="31"/>
  <c r="M71" i="31" s="1"/>
  <c r="P70" i="31"/>
  <c r="Q70" i="31" s="1"/>
  <c r="E59" i="34" s="1"/>
  <c r="J70" i="30"/>
  <c r="K70" i="30"/>
  <c r="O70" i="30" s="1"/>
  <c r="P70" i="30"/>
  <c r="G71" i="30"/>
  <c r="I71" i="30" s="1"/>
  <c r="L71" i="30" s="1"/>
  <c r="B72" i="30"/>
  <c r="F71" i="30"/>
  <c r="H71" i="30" s="1"/>
  <c r="C71" i="30"/>
  <c r="M71" i="30" s="1"/>
  <c r="P70" i="29"/>
  <c r="B72" i="29"/>
  <c r="F71" i="29"/>
  <c r="H71" i="29" s="1"/>
  <c r="C71" i="29"/>
  <c r="M71" i="29" s="1"/>
  <c r="G71" i="29"/>
  <c r="I71" i="29" s="1"/>
  <c r="L71" i="29" s="1"/>
  <c r="J70" i="29"/>
  <c r="K70" i="29"/>
  <c r="O70" i="29" s="1"/>
  <c r="N69" i="29"/>
  <c r="Q69" i="29"/>
  <c r="B58" i="34" s="1"/>
  <c r="B73" i="24"/>
  <c r="G73" i="24" s="1"/>
  <c r="F72" i="24"/>
  <c r="H72" i="24" s="1"/>
  <c r="K72" i="24" s="1"/>
  <c r="I72" i="24"/>
  <c r="L72" i="24" s="1"/>
  <c r="C72" i="24"/>
  <c r="M72" i="24" s="1"/>
  <c r="P71" i="24"/>
  <c r="J71" i="24"/>
  <c r="O71" i="24"/>
  <c r="Q70" i="24"/>
  <c r="C59" i="34" s="1"/>
  <c r="N70" i="24"/>
  <c r="N70" i="32" l="1"/>
  <c r="Q70" i="32"/>
  <c r="J73" i="33"/>
  <c r="K73" i="33"/>
  <c r="O73" i="33" s="1"/>
  <c r="P73" i="33"/>
  <c r="G74" i="33"/>
  <c r="I74" i="33" s="1"/>
  <c r="L74" i="33" s="1"/>
  <c r="B75" i="33"/>
  <c r="F74" i="33"/>
  <c r="H74" i="33" s="1"/>
  <c r="C74" i="33"/>
  <c r="M74" i="33" s="1"/>
  <c r="F72" i="32"/>
  <c r="H72" i="32" s="1"/>
  <c r="C72" i="32"/>
  <c r="M72" i="32" s="1"/>
  <c r="G72" i="32"/>
  <c r="I72" i="32" s="1"/>
  <c r="L72" i="32" s="1"/>
  <c r="B73" i="32"/>
  <c r="J71" i="32"/>
  <c r="K71" i="32"/>
  <c r="O71" i="32" s="1"/>
  <c r="P71" i="32"/>
  <c r="N70" i="31"/>
  <c r="Q70" i="30"/>
  <c r="D59" i="34" s="1"/>
  <c r="N70" i="30"/>
  <c r="P71" i="31"/>
  <c r="C72" i="31"/>
  <c r="M72" i="31" s="1"/>
  <c r="F72" i="31"/>
  <c r="H72" i="31" s="1"/>
  <c r="B73" i="31"/>
  <c r="G72" i="31"/>
  <c r="I72" i="31" s="1"/>
  <c r="L72" i="31" s="1"/>
  <c r="J71" i="31"/>
  <c r="K71" i="31"/>
  <c r="O71" i="31" s="1"/>
  <c r="P71" i="30"/>
  <c r="J71" i="30"/>
  <c r="K71" i="30"/>
  <c r="O71" i="30" s="1"/>
  <c r="C72" i="30"/>
  <c r="M72" i="30" s="1"/>
  <c r="G72" i="30"/>
  <c r="I72" i="30" s="1"/>
  <c r="L72" i="30" s="1"/>
  <c r="B73" i="30"/>
  <c r="F72" i="30"/>
  <c r="H72" i="30" s="1"/>
  <c r="N70" i="29"/>
  <c r="P71" i="29"/>
  <c r="J71" i="29"/>
  <c r="K71" i="29"/>
  <c r="O71" i="29" s="1"/>
  <c r="C72" i="29"/>
  <c r="M72" i="29" s="1"/>
  <c r="B73" i="29"/>
  <c r="F72" i="29"/>
  <c r="H72" i="29" s="1"/>
  <c r="G72" i="29"/>
  <c r="I72" i="29" s="1"/>
  <c r="L72" i="29" s="1"/>
  <c r="Q70" i="29"/>
  <c r="B59" i="34" s="1"/>
  <c r="Q71" i="24"/>
  <c r="C60" i="34" s="1"/>
  <c r="N71" i="24"/>
  <c r="P72" i="24"/>
  <c r="J72" i="24"/>
  <c r="O72" i="24"/>
  <c r="B74" i="24"/>
  <c r="G74" i="24" s="1"/>
  <c r="F73" i="24"/>
  <c r="H73" i="24" s="1"/>
  <c r="K73" i="24" s="1"/>
  <c r="I73" i="24"/>
  <c r="L73" i="24" s="1"/>
  <c r="C73" i="24"/>
  <c r="M73" i="24" s="1"/>
  <c r="N73" i="33" l="1"/>
  <c r="Q73" i="33"/>
  <c r="C75" i="33"/>
  <c r="M75" i="33" s="1"/>
  <c r="B76" i="33"/>
  <c r="G75" i="33"/>
  <c r="I75" i="33" s="1"/>
  <c r="L75" i="33" s="1"/>
  <c r="F75" i="33"/>
  <c r="H75" i="33" s="1"/>
  <c r="P74" i="33"/>
  <c r="K74" i="33"/>
  <c r="O74" i="33" s="1"/>
  <c r="J74" i="33"/>
  <c r="N71" i="32"/>
  <c r="Q71" i="32"/>
  <c r="G73" i="32"/>
  <c r="I73" i="32" s="1"/>
  <c r="L73" i="32" s="1"/>
  <c r="F73" i="32"/>
  <c r="H73" i="32" s="1"/>
  <c r="B74" i="32"/>
  <c r="C73" i="32"/>
  <c r="M73" i="32" s="1"/>
  <c r="P72" i="32"/>
  <c r="J72" i="32"/>
  <c r="K72" i="32"/>
  <c r="O72" i="32" s="1"/>
  <c r="B74" i="31"/>
  <c r="G73" i="31"/>
  <c r="I73" i="31" s="1"/>
  <c r="L73" i="31" s="1"/>
  <c r="F73" i="31"/>
  <c r="H73" i="31" s="1"/>
  <c r="C73" i="31"/>
  <c r="M73" i="31" s="1"/>
  <c r="J72" i="31"/>
  <c r="K72" i="31"/>
  <c r="O72" i="31" s="1"/>
  <c r="P72" i="31"/>
  <c r="N71" i="31"/>
  <c r="Q71" i="31"/>
  <c r="E60" i="34" s="1"/>
  <c r="J72" i="30"/>
  <c r="K72" i="30"/>
  <c r="O72" i="30" s="1"/>
  <c r="B74" i="30"/>
  <c r="G73" i="30"/>
  <c r="I73" i="30" s="1"/>
  <c r="L73" i="30" s="1"/>
  <c r="F73" i="30"/>
  <c r="H73" i="30" s="1"/>
  <c r="C73" i="30"/>
  <c r="M73" i="30" s="1"/>
  <c r="P72" i="30"/>
  <c r="Q71" i="30"/>
  <c r="D60" i="34" s="1"/>
  <c r="N71" i="30"/>
  <c r="P72" i="29"/>
  <c r="J72" i="29"/>
  <c r="K72" i="29"/>
  <c r="O72" i="29" s="1"/>
  <c r="G73" i="29"/>
  <c r="I73" i="29" s="1"/>
  <c r="L73" i="29" s="1"/>
  <c r="B74" i="29"/>
  <c r="F73" i="29"/>
  <c r="H73" i="29" s="1"/>
  <c r="C73" i="29"/>
  <c r="M73" i="29" s="1"/>
  <c r="Q71" i="29"/>
  <c r="B60" i="34" s="1"/>
  <c r="N71" i="29"/>
  <c r="J73" i="24"/>
  <c r="O73" i="24"/>
  <c r="N72" i="24"/>
  <c r="Q72" i="24"/>
  <c r="C61" i="34" s="1"/>
  <c r="P73" i="24"/>
  <c r="N73" i="24"/>
  <c r="B75" i="24"/>
  <c r="G75" i="24" s="1"/>
  <c r="F74" i="24"/>
  <c r="H74" i="24" s="1"/>
  <c r="K74" i="24" s="1"/>
  <c r="I74" i="24"/>
  <c r="L74" i="24" s="1"/>
  <c r="C74" i="24"/>
  <c r="M74" i="24" s="1"/>
  <c r="N72" i="31" l="1"/>
  <c r="J75" i="33"/>
  <c r="K75" i="33"/>
  <c r="O75" i="33" s="1"/>
  <c r="Q74" i="33"/>
  <c r="G76" i="33"/>
  <c r="I76" i="33" s="1"/>
  <c r="L76" i="33" s="1"/>
  <c r="B77" i="33"/>
  <c r="F76" i="33"/>
  <c r="H76" i="33" s="1"/>
  <c r="C76" i="33"/>
  <c r="M76" i="33" s="1"/>
  <c r="N74" i="33"/>
  <c r="P75" i="33"/>
  <c r="Q75" i="33" s="1"/>
  <c r="N75" i="33"/>
  <c r="N72" i="32"/>
  <c r="P73" i="32"/>
  <c r="K73" i="32"/>
  <c r="O73" i="32" s="1"/>
  <c r="J73" i="32"/>
  <c r="Q72" i="32"/>
  <c r="C74" i="32"/>
  <c r="M74" i="32" s="1"/>
  <c r="G74" i="32"/>
  <c r="I74" i="32" s="1"/>
  <c r="L74" i="32" s="1"/>
  <c r="F74" i="32"/>
  <c r="H74" i="32" s="1"/>
  <c r="B75" i="32"/>
  <c r="Q72" i="31"/>
  <c r="E61" i="34" s="1"/>
  <c r="N72" i="30"/>
  <c r="Q72" i="30"/>
  <c r="D61" i="34" s="1"/>
  <c r="P73" i="31"/>
  <c r="J73" i="31"/>
  <c r="K73" i="31"/>
  <c r="O73" i="31" s="1"/>
  <c r="G74" i="31"/>
  <c r="I74" i="31" s="1"/>
  <c r="L74" i="31" s="1"/>
  <c r="B75" i="31"/>
  <c r="F74" i="31"/>
  <c r="H74" i="31" s="1"/>
  <c r="C74" i="31"/>
  <c r="M74" i="31" s="1"/>
  <c r="P73" i="30"/>
  <c r="J73" i="30"/>
  <c r="K73" i="30"/>
  <c r="O73" i="30" s="1"/>
  <c r="G74" i="30"/>
  <c r="I74" i="30" s="1"/>
  <c r="L74" i="30" s="1"/>
  <c r="B75" i="30"/>
  <c r="F74" i="30"/>
  <c r="H74" i="30" s="1"/>
  <c r="C74" i="30"/>
  <c r="M74" i="30" s="1"/>
  <c r="J73" i="29"/>
  <c r="K73" i="29"/>
  <c r="O73" i="29" s="1"/>
  <c r="P73" i="29"/>
  <c r="B75" i="29"/>
  <c r="F74" i="29"/>
  <c r="H74" i="29" s="1"/>
  <c r="C74" i="29"/>
  <c r="M74" i="29" s="1"/>
  <c r="G74" i="29"/>
  <c r="I74" i="29" s="1"/>
  <c r="L74" i="29" s="1"/>
  <c r="N72" i="29"/>
  <c r="Q72" i="29"/>
  <c r="B61" i="34" s="1"/>
  <c r="Q73" i="24"/>
  <c r="C62" i="34" s="1"/>
  <c r="J74" i="24"/>
  <c r="O74" i="24"/>
  <c r="B76" i="24"/>
  <c r="G76" i="24" s="1"/>
  <c r="I75" i="24"/>
  <c r="L75" i="24" s="1"/>
  <c r="F75" i="24"/>
  <c r="H75" i="24" s="1"/>
  <c r="K75" i="24" s="1"/>
  <c r="C75" i="24"/>
  <c r="M75" i="24" s="1"/>
  <c r="P74" i="24"/>
  <c r="N74" i="24"/>
  <c r="P76" i="33" l="1"/>
  <c r="J76" i="33"/>
  <c r="K76" i="33"/>
  <c r="O76" i="33" s="1"/>
  <c r="G77" i="33"/>
  <c r="I77" i="33" s="1"/>
  <c r="L77" i="33" s="1"/>
  <c r="B78" i="33"/>
  <c r="F77" i="33"/>
  <c r="H77" i="33" s="1"/>
  <c r="C77" i="33"/>
  <c r="M77" i="33" s="1"/>
  <c r="F75" i="32"/>
  <c r="H75" i="32" s="1"/>
  <c r="C75" i="32"/>
  <c r="M75" i="32" s="1"/>
  <c r="B76" i="32"/>
  <c r="G75" i="32"/>
  <c r="I75" i="32" s="1"/>
  <c r="L75" i="32" s="1"/>
  <c r="J74" i="32"/>
  <c r="K74" i="32"/>
  <c r="O74" i="32" s="1"/>
  <c r="P74" i="32"/>
  <c r="N73" i="32"/>
  <c r="Q73" i="32"/>
  <c r="C75" i="31"/>
  <c r="M75" i="31" s="1"/>
  <c r="B76" i="31"/>
  <c r="F75" i="31"/>
  <c r="H75" i="31" s="1"/>
  <c r="G75" i="31"/>
  <c r="I75" i="31" s="1"/>
  <c r="L75" i="31" s="1"/>
  <c r="P74" i="31"/>
  <c r="J74" i="31"/>
  <c r="K74" i="31"/>
  <c r="O74" i="31" s="1"/>
  <c r="N73" i="31"/>
  <c r="Q73" i="31"/>
  <c r="E62" i="34" s="1"/>
  <c r="P74" i="30"/>
  <c r="J74" i="30"/>
  <c r="K74" i="30"/>
  <c r="O74" i="30" s="1"/>
  <c r="C75" i="30"/>
  <c r="M75" i="30" s="1"/>
  <c r="B76" i="30"/>
  <c r="G75" i="30"/>
  <c r="I75" i="30" s="1"/>
  <c r="L75" i="30" s="1"/>
  <c r="F75" i="30"/>
  <c r="H75" i="30" s="1"/>
  <c r="N73" i="30"/>
  <c r="Q73" i="30"/>
  <c r="D62" i="34" s="1"/>
  <c r="N73" i="29"/>
  <c r="Q73" i="29"/>
  <c r="B62" i="34" s="1"/>
  <c r="P74" i="29"/>
  <c r="K74" i="29"/>
  <c r="O74" i="29" s="1"/>
  <c r="J74" i="29"/>
  <c r="F75" i="29"/>
  <c r="H75" i="29" s="1"/>
  <c r="B76" i="29"/>
  <c r="G75" i="29"/>
  <c r="I75" i="29" s="1"/>
  <c r="L75" i="29" s="1"/>
  <c r="C75" i="29"/>
  <c r="M75" i="29" s="1"/>
  <c r="Q74" i="24"/>
  <c r="C63" i="34" s="1"/>
  <c r="J75" i="24"/>
  <c r="O75" i="24"/>
  <c r="B77" i="24"/>
  <c r="G77" i="24" s="1"/>
  <c r="F76" i="24"/>
  <c r="H76" i="24" s="1"/>
  <c r="K76" i="24" s="1"/>
  <c r="I76" i="24"/>
  <c r="L76" i="24" s="1"/>
  <c r="C76" i="24"/>
  <c r="M76" i="24" s="1"/>
  <c r="P75" i="24"/>
  <c r="N75" i="24"/>
  <c r="Q76" i="33" l="1"/>
  <c r="P77" i="33"/>
  <c r="J77" i="33"/>
  <c r="K77" i="33"/>
  <c r="O77" i="33" s="1"/>
  <c r="C78" i="33"/>
  <c r="M78" i="33" s="1"/>
  <c r="G78" i="33"/>
  <c r="I78" i="33" s="1"/>
  <c r="L78" i="33" s="1"/>
  <c r="F78" i="33"/>
  <c r="H78" i="33" s="1"/>
  <c r="B79" i="33"/>
  <c r="N76" i="33"/>
  <c r="N74" i="32"/>
  <c r="Q74" i="32"/>
  <c r="G76" i="32"/>
  <c r="I76" i="32" s="1"/>
  <c r="L76" i="32" s="1"/>
  <c r="C76" i="32"/>
  <c r="M76" i="32" s="1"/>
  <c r="F76" i="32"/>
  <c r="H76" i="32" s="1"/>
  <c r="B77" i="32"/>
  <c r="P75" i="32"/>
  <c r="J75" i="32"/>
  <c r="K75" i="32"/>
  <c r="O75" i="32" s="1"/>
  <c r="Q74" i="31"/>
  <c r="E63" i="34" s="1"/>
  <c r="N74" i="31"/>
  <c r="J75" i="31"/>
  <c r="K75" i="31"/>
  <c r="O75" i="31" s="1"/>
  <c r="G76" i="31"/>
  <c r="I76" i="31" s="1"/>
  <c r="L76" i="31" s="1"/>
  <c r="F76" i="31"/>
  <c r="H76" i="31" s="1"/>
  <c r="B77" i="31"/>
  <c r="C76" i="31"/>
  <c r="M76" i="31" s="1"/>
  <c r="P75" i="31"/>
  <c r="J75" i="30"/>
  <c r="K75" i="30"/>
  <c r="O75" i="30" s="1"/>
  <c r="C76" i="30"/>
  <c r="M76" i="30" s="1"/>
  <c r="F76" i="30"/>
  <c r="H76" i="30" s="1"/>
  <c r="B77" i="30"/>
  <c r="G76" i="30"/>
  <c r="I76" i="30" s="1"/>
  <c r="L76" i="30" s="1"/>
  <c r="P75" i="30"/>
  <c r="N74" i="30"/>
  <c r="Q74" i="30"/>
  <c r="D63" i="34" s="1"/>
  <c r="G76" i="29"/>
  <c r="I76" i="29" s="1"/>
  <c r="L76" i="29" s="1"/>
  <c r="B77" i="29"/>
  <c r="C76" i="29"/>
  <c r="M76" i="29" s="1"/>
  <c r="F76" i="29"/>
  <c r="H76" i="29" s="1"/>
  <c r="Q74" i="29"/>
  <c r="B63" i="34" s="1"/>
  <c r="P75" i="29"/>
  <c r="J75" i="29"/>
  <c r="K75" i="29"/>
  <c r="O75" i="29" s="1"/>
  <c r="N74" i="29"/>
  <c r="Q75" i="24"/>
  <c r="C64" i="34" s="1"/>
  <c r="P76" i="24"/>
  <c r="J76" i="24"/>
  <c r="O76" i="24"/>
  <c r="B78" i="24"/>
  <c r="G78" i="24" s="1"/>
  <c r="C77" i="24"/>
  <c r="M77" i="24" s="1"/>
  <c r="F77" i="24"/>
  <c r="H77" i="24" s="1"/>
  <c r="K77" i="24" s="1"/>
  <c r="I77" i="24"/>
  <c r="L77" i="24" s="1"/>
  <c r="Q75" i="31" l="1"/>
  <c r="E64" i="34" s="1"/>
  <c r="N75" i="31"/>
  <c r="P78" i="33"/>
  <c r="N77" i="33"/>
  <c r="G79" i="33"/>
  <c r="I79" i="33" s="1"/>
  <c r="L79" i="33" s="1"/>
  <c r="B80" i="33"/>
  <c r="F79" i="33"/>
  <c r="H79" i="33" s="1"/>
  <c r="C79" i="33"/>
  <c r="M79" i="33" s="1"/>
  <c r="J78" i="33"/>
  <c r="K78" i="33"/>
  <c r="O78" i="33" s="1"/>
  <c r="Q77" i="33"/>
  <c r="N75" i="32"/>
  <c r="Q75" i="32"/>
  <c r="C77" i="32"/>
  <c r="M77" i="32" s="1"/>
  <c r="F77" i="32"/>
  <c r="H77" i="32" s="1"/>
  <c r="B78" i="32"/>
  <c r="G77" i="32"/>
  <c r="I77" i="32" s="1"/>
  <c r="L77" i="32" s="1"/>
  <c r="P76" i="32"/>
  <c r="J76" i="32"/>
  <c r="K76" i="32"/>
  <c r="O76" i="32" s="1"/>
  <c r="N75" i="30"/>
  <c r="Q75" i="30"/>
  <c r="D64" i="34" s="1"/>
  <c r="P76" i="31"/>
  <c r="G77" i="31"/>
  <c r="I77" i="31" s="1"/>
  <c r="L77" i="31" s="1"/>
  <c r="F77" i="31"/>
  <c r="H77" i="31" s="1"/>
  <c r="C77" i="31"/>
  <c r="M77" i="31" s="1"/>
  <c r="B78" i="31"/>
  <c r="J76" i="31"/>
  <c r="K76" i="31"/>
  <c r="O76" i="31" s="1"/>
  <c r="G77" i="30"/>
  <c r="I77" i="30" s="1"/>
  <c r="L77" i="30" s="1"/>
  <c r="B78" i="30"/>
  <c r="F77" i="30"/>
  <c r="H77" i="30" s="1"/>
  <c r="C77" i="30"/>
  <c r="M77" i="30" s="1"/>
  <c r="J76" i="30"/>
  <c r="K76" i="30"/>
  <c r="O76" i="30" s="1"/>
  <c r="P76" i="30"/>
  <c r="P76" i="29"/>
  <c r="B78" i="29"/>
  <c r="F77" i="29"/>
  <c r="H77" i="29" s="1"/>
  <c r="C77" i="29"/>
  <c r="M77" i="29" s="1"/>
  <c r="G77" i="29"/>
  <c r="I77" i="29" s="1"/>
  <c r="L77" i="29" s="1"/>
  <c r="N75" i="29"/>
  <c r="Q75" i="29"/>
  <c r="B64" i="34" s="1"/>
  <c r="J76" i="29"/>
  <c r="K76" i="29"/>
  <c r="O76" i="29" s="1"/>
  <c r="P77" i="24"/>
  <c r="J77" i="24"/>
  <c r="O77" i="24"/>
  <c r="N76" i="24"/>
  <c r="B79" i="24"/>
  <c r="G79" i="24" s="1"/>
  <c r="F78" i="24"/>
  <c r="H78" i="24" s="1"/>
  <c r="K78" i="24" s="1"/>
  <c r="C78" i="24"/>
  <c r="M78" i="24" s="1"/>
  <c r="I78" i="24"/>
  <c r="L78" i="24" s="1"/>
  <c r="Q76" i="24"/>
  <c r="C65" i="34" s="1"/>
  <c r="N76" i="30" l="1"/>
  <c r="Q78" i="33"/>
  <c r="G80" i="33"/>
  <c r="I80" i="33" s="1"/>
  <c r="L80" i="33" s="1"/>
  <c r="B81" i="33"/>
  <c r="F80" i="33"/>
  <c r="H80" i="33" s="1"/>
  <c r="C80" i="33"/>
  <c r="M80" i="33" s="1"/>
  <c r="P79" i="33"/>
  <c r="J79" i="33"/>
  <c r="K79" i="33"/>
  <c r="O79" i="33" s="1"/>
  <c r="N78" i="33"/>
  <c r="N76" i="32"/>
  <c r="Q76" i="32"/>
  <c r="F78" i="32"/>
  <c r="H78" i="32" s="1"/>
  <c r="C78" i="32"/>
  <c r="M78" i="32" s="1"/>
  <c r="G78" i="32"/>
  <c r="I78" i="32" s="1"/>
  <c r="L78" i="32" s="1"/>
  <c r="B79" i="32"/>
  <c r="J77" i="32"/>
  <c r="K77" i="32"/>
  <c r="O77" i="32" s="1"/>
  <c r="P77" i="32"/>
  <c r="Q76" i="30"/>
  <c r="D65" i="34" s="1"/>
  <c r="C78" i="31"/>
  <c r="M78" i="31" s="1"/>
  <c r="B79" i="31"/>
  <c r="G78" i="31"/>
  <c r="I78" i="31" s="1"/>
  <c r="L78" i="31" s="1"/>
  <c r="F78" i="31"/>
  <c r="H78" i="31" s="1"/>
  <c r="P77" i="31"/>
  <c r="J77" i="31"/>
  <c r="K77" i="31"/>
  <c r="O77" i="31" s="1"/>
  <c r="N76" i="31"/>
  <c r="Q76" i="31"/>
  <c r="E65" i="34" s="1"/>
  <c r="P77" i="30"/>
  <c r="J77" i="30"/>
  <c r="K77" i="30"/>
  <c r="O77" i="30" s="1"/>
  <c r="C78" i="30"/>
  <c r="M78" i="30" s="1"/>
  <c r="G78" i="30"/>
  <c r="I78" i="30" s="1"/>
  <c r="L78" i="30" s="1"/>
  <c r="F78" i="30"/>
  <c r="H78" i="30" s="1"/>
  <c r="B79" i="30"/>
  <c r="P77" i="29"/>
  <c r="J77" i="29"/>
  <c r="K77" i="29"/>
  <c r="O77" i="29" s="1"/>
  <c r="G78" i="29"/>
  <c r="I78" i="29" s="1"/>
  <c r="L78" i="29" s="1"/>
  <c r="F78" i="29"/>
  <c r="H78" i="29" s="1"/>
  <c r="C78" i="29"/>
  <c r="M78" i="29" s="1"/>
  <c r="B79" i="29"/>
  <c r="N76" i="29"/>
  <c r="Q76" i="29"/>
  <c r="B65" i="34" s="1"/>
  <c r="B80" i="24"/>
  <c r="G80" i="24" s="1"/>
  <c r="F79" i="24"/>
  <c r="H79" i="24" s="1"/>
  <c r="K79" i="24" s="1"/>
  <c r="C79" i="24"/>
  <c r="M79" i="24" s="1"/>
  <c r="I79" i="24"/>
  <c r="L79" i="24" s="1"/>
  <c r="P78" i="24"/>
  <c r="J78" i="24"/>
  <c r="O78" i="24"/>
  <c r="N77" i="24"/>
  <c r="Q77" i="24"/>
  <c r="C66" i="34" s="1"/>
  <c r="N79" i="33" l="1"/>
  <c r="Q79" i="33"/>
  <c r="P80" i="33"/>
  <c r="J80" i="33"/>
  <c r="K80" i="33"/>
  <c r="O80" i="33" s="1"/>
  <c r="C81" i="33"/>
  <c r="M81" i="33" s="1"/>
  <c r="G81" i="33"/>
  <c r="I81" i="33" s="1"/>
  <c r="L81" i="33" s="1"/>
  <c r="B82" i="33"/>
  <c r="F81" i="33"/>
  <c r="H81" i="33" s="1"/>
  <c r="N77" i="32"/>
  <c r="Q77" i="32"/>
  <c r="G79" i="32"/>
  <c r="I79" i="32" s="1"/>
  <c r="L79" i="32" s="1"/>
  <c r="F79" i="32"/>
  <c r="H79" i="32" s="1"/>
  <c r="B80" i="32"/>
  <c r="C79" i="32"/>
  <c r="M79" i="32" s="1"/>
  <c r="P78" i="32"/>
  <c r="J78" i="32"/>
  <c r="K78" i="32"/>
  <c r="O78" i="32" s="1"/>
  <c r="Q77" i="31"/>
  <c r="E66" i="34" s="1"/>
  <c r="N77" i="31"/>
  <c r="J78" i="31"/>
  <c r="K78" i="31"/>
  <c r="O78" i="31" s="1"/>
  <c r="C79" i="31"/>
  <c r="M79" i="31" s="1"/>
  <c r="B80" i="31"/>
  <c r="F79" i="31"/>
  <c r="H79" i="31" s="1"/>
  <c r="G79" i="31"/>
  <c r="I79" i="31" s="1"/>
  <c r="L79" i="31" s="1"/>
  <c r="P78" i="31"/>
  <c r="G79" i="30"/>
  <c r="I79" i="30" s="1"/>
  <c r="L79" i="30" s="1"/>
  <c r="C79" i="30"/>
  <c r="M79" i="30" s="1"/>
  <c r="B80" i="30"/>
  <c r="F79" i="30"/>
  <c r="H79" i="30" s="1"/>
  <c r="K78" i="30"/>
  <c r="O78" i="30" s="1"/>
  <c r="J78" i="30"/>
  <c r="P78" i="30"/>
  <c r="N78" i="30"/>
  <c r="Q77" i="30"/>
  <c r="D66" i="34" s="1"/>
  <c r="N77" i="30"/>
  <c r="Q77" i="29"/>
  <c r="B66" i="34" s="1"/>
  <c r="P78" i="29"/>
  <c r="G79" i="29"/>
  <c r="I79" i="29" s="1"/>
  <c r="L79" i="29" s="1"/>
  <c r="F79" i="29"/>
  <c r="H79" i="29" s="1"/>
  <c r="B80" i="29"/>
  <c r="C79" i="29"/>
  <c r="M79" i="29" s="1"/>
  <c r="J78" i="29"/>
  <c r="K78" i="29"/>
  <c r="O78" i="29" s="1"/>
  <c r="N77" i="29"/>
  <c r="N78" i="24"/>
  <c r="Q78" i="24"/>
  <c r="C67" i="34" s="1"/>
  <c r="P79" i="24"/>
  <c r="J79" i="24"/>
  <c r="O79" i="24"/>
  <c r="B81" i="24"/>
  <c r="G81" i="24" s="1"/>
  <c r="F80" i="24"/>
  <c r="H80" i="24" s="1"/>
  <c r="K80" i="24" s="1"/>
  <c r="I80" i="24"/>
  <c r="L80" i="24" s="1"/>
  <c r="C80" i="24"/>
  <c r="M80" i="24" s="1"/>
  <c r="N78" i="31" l="1"/>
  <c r="Q78" i="31"/>
  <c r="E67" i="34" s="1"/>
  <c r="J81" i="33"/>
  <c r="K81" i="33"/>
  <c r="O81" i="33" s="1"/>
  <c r="G82" i="33"/>
  <c r="I82" i="33" s="1"/>
  <c r="L82" i="33" s="1"/>
  <c r="B83" i="33"/>
  <c r="F82" i="33"/>
  <c r="H82" i="33" s="1"/>
  <c r="C82" i="33"/>
  <c r="M82" i="33" s="1"/>
  <c r="P81" i="33"/>
  <c r="Q81" i="33" s="1"/>
  <c r="N81" i="33"/>
  <c r="N80" i="33"/>
  <c r="Q80" i="33"/>
  <c r="Q78" i="32"/>
  <c r="K79" i="32"/>
  <c r="O79" i="32" s="1"/>
  <c r="J79" i="32"/>
  <c r="N78" i="32"/>
  <c r="C80" i="32"/>
  <c r="M80" i="32" s="1"/>
  <c r="B81" i="32"/>
  <c r="F80" i="32"/>
  <c r="H80" i="32" s="1"/>
  <c r="G80" i="32"/>
  <c r="I80" i="32" s="1"/>
  <c r="L80" i="32" s="1"/>
  <c r="P79" i="32"/>
  <c r="J79" i="31"/>
  <c r="K79" i="31"/>
  <c r="O79" i="31" s="1"/>
  <c r="G80" i="31"/>
  <c r="I80" i="31" s="1"/>
  <c r="L80" i="31" s="1"/>
  <c r="B81" i="31"/>
  <c r="F80" i="31"/>
  <c r="H80" i="31" s="1"/>
  <c r="C80" i="31"/>
  <c r="M80" i="31" s="1"/>
  <c r="P79" i="31"/>
  <c r="Q78" i="30"/>
  <c r="D67" i="34" s="1"/>
  <c r="J79" i="30"/>
  <c r="K79" i="30"/>
  <c r="O79" i="30" s="1"/>
  <c r="G80" i="30"/>
  <c r="I80" i="30" s="1"/>
  <c r="L80" i="30" s="1"/>
  <c r="B81" i="30"/>
  <c r="F80" i="30"/>
  <c r="H80" i="30" s="1"/>
  <c r="C80" i="30"/>
  <c r="M80" i="30" s="1"/>
  <c r="P79" i="30"/>
  <c r="Q78" i="29"/>
  <c r="B67" i="34" s="1"/>
  <c r="B81" i="29"/>
  <c r="F80" i="29"/>
  <c r="H80" i="29" s="1"/>
  <c r="C80" i="29"/>
  <c r="M80" i="29" s="1"/>
  <c r="G80" i="29"/>
  <c r="I80" i="29" s="1"/>
  <c r="L80" i="29" s="1"/>
  <c r="P79" i="29"/>
  <c r="J79" i="29"/>
  <c r="K79" i="29"/>
  <c r="O79" i="29" s="1"/>
  <c r="N78" i="29"/>
  <c r="J80" i="24"/>
  <c r="O80" i="24"/>
  <c r="B82" i="24"/>
  <c r="G82" i="24" s="1"/>
  <c r="I81" i="24"/>
  <c r="L81" i="24" s="1"/>
  <c r="F81" i="24"/>
  <c r="H81" i="24" s="1"/>
  <c r="K81" i="24" s="1"/>
  <c r="C81" i="24"/>
  <c r="M81" i="24" s="1"/>
  <c r="Q79" i="24"/>
  <c r="C68" i="34" s="1"/>
  <c r="N79" i="24"/>
  <c r="P80" i="24"/>
  <c r="N80" i="24"/>
  <c r="Q79" i="31" l="1"/>
  <c r="E68" i="34" s="1"/>
  <c r="N79" i="32"/>
  <c r="Q79" i="32"/>
  <c r="P82" i="33"/>
  <c r="J82" i="33"/>
  <c r="K82" i="33"/>
  <c r="O82" i="33" s="1"/>
  <c r="G83" i="33"/>
  <c r="I83" i="33" s="1"/>
  <c r="L83" i="33" s="1"/>
  <c r="B84" i="33"/>
  <c r="F83" i="33"/>
  <c r="H83" i="33" s="1"/>
  <c r="C83" i="33"/>
  <c r="M83" i="33" s="1"/>
  <c r="J80" i="32"/>
  <c r="K80" i="32"/>
  <c r="O80" i="32" s="1"/>
  <c r="F81" i="32"/>
  <c r="H81" i="32" s="1"/>
  <c r="C81" i="32"/>
  <c r="M81" i="32" s="1"/>
  <c r="G81" i="32"/>
  <c r="I81" i="32" s="1"/>
  <c r="L81" i="32" s="1"/>
  <c r="B82" i="32"/>
  <c r="P80" i="32"/>
  <c r="N79" i="31"/>
  <c r="N79" i="30"/>
  <c r="Q79" i="30"/>
  <c r="D68" i="34" s="1"/>
  <c r="P80" i="31"/>
  <c r="J80" i="31"/>
  <c r="K80" i="31"/>
  <c r="O80" i="31" s="1"/>
  <c r="C81" i="31"/>
  <c r="M81" i="31" s="1"/>
  <c r="G81" i="31"/>
  <c r="I81" i="31" s="1"/>
  <c r="L81" i="31" s="1"/>
  <c r="B82" i="31"/>
  <c r="F81" i="31"/>
  <c r="H81" i="31" s="1"/>
  <c r="P80" i="30"/>
  <c r="J80" i="30"/>
  <c r="K80" i="30"/>
  <c r="O80" i="30" s="1"/>
  <c r="C81" i="30"/>
  <c r="M81" i="30" s="1"/>
  <c r="F81" i="30"/>
  <c r="H81" i="30" s="1"/>
  <c r="G81" i="30"/>
  <c r="I81" i="30" s="1"/>
  <c r="L81" i="30" s="1"/>
  <c r="B82" i="30"/>
  <c r="N79" i="29"/>
  <c r="K80" i="29"/>
  <c r="O80" i="29" s="1"/>
  <c r="J80" i="29"/>
  <c r="Q79" i="29"/>
  <c r="B68" i="34" s="1"/>
  <c r="P80" i="29"/>
  <c r="C81" i="29"/>
  <c r="M81" i="29" s="1"/>
  <c r="B82" i="29"/>
  <c r="G81" i="29"/>
  <c r="I81" i="29" s="1"/>
  <c r="L81" i="29" s="1"/>
  <c r="F81" i="29"/>
  <c r="H81" i="29" s="1"/>
  <c r="J81" i="24"/>
  <c r="O81" i="24"/>
  <c r="B83" i="24"/>
  <c r="G83" i="24" s="1"/>
  <c r="F82" i="24"/>
  <c r="H82" i="24" s="1"/>
  <c r="K82" i="24" s="1"/>
  <c r="I82" i="24"/>
  <c r="L82" i="24" s="1"/>
  <c r="C82" i="24"/>
  <c r="M82" i="24" s="1"/>
  <c r="N81" i="24"/>
  <c r="P81" i="24"/>
  <c r="Q80" i="24"/>
  <c r="C69" i="34" s="1"/>
  <c r="N80" i="32" l="1"/>
  <c r="Q80" i="32"/>
  <c r="P83" i="33"/>
  <c r="K83" i="33"/>
  <c r="O83" i="33" s="1"/>
  <c r="J83" i="33"/>
  <c r="C84" i="33"/>
  <c r="M84" i="33" s="1"/>
  <c r="B85" i="33"/>
  <c r="G84" i="33"/>
  <c r="I84" i="33" s="1"/>
  <c r="L84" i="33" s="1"/>
  <c r="F84" i="33"/>
  <c r="H84" i="33" s="1"/>
  <c r="N82" i="33"/>
  <c r="Q82" i="33"/>
  <c r="G82" i="32"/>
  <c r="I82" i="32" s="1"/>
  <c r="L82" i="32" s="1"/>
  <c r="C82" i="32"/>
  <c r="M82" i="32" s="1"/>
  <c r="B83" i="32"/>
  <c r="F82" i="32"/>
  <c r="H82" i="32" s="1"/>
  <c r="P81" i="32"/>
  <c r="J81" i="32"/>
  <c r="K81" i="32"/>
  <c r="O81" i="32" s="1"/>
  <c r="B83" i="31"/>
  <c r="F82" i="31"/>
  <c r="H82" i="31" s="1"/>
  <c r="C82" i="31"/>
  <c r="M82" i="31" s="1"/>
  <c r="G82" i="31"/>
  <c r="I82" i="31" s="1"/>
  <c r="L82" i="31" s="1"/>
  <c r="J81" i="31"/>
  <c r="K81" i="31"/>
  <c r="O81" i="31" s="1"/>
  <c r="P81" i="31"/>
  <c r="Q80" i="31"/>
  <c r="E69" i="34" s="1"/>
  <c r="N80" i="31"/>
  <c r="F82" i="30"/>
  <c r="H82" i="30" s="1"/>
  <c r="B83" i="30"/>
  <c r="G82" i="30"/>
  <c r="I82" i="30" s="1"/>
  <c r="L82" i="30" s="1"/>
  <c r="C82" i="30"/>
  <c r="M82" i="30" s="1"/>
  <c r="J81" i="30"/>
  <c r="K81" i="30"/>
  <c r="O81" i="30" s="1"/>
  <c r="P81" i="30"/>
  <c r="N81" i="30"/>
  <c r="N80" i="30"/>
  <c r="Q80" i="30"/>
  <c r="D69" i="34" s="1"/>
  <c r="N80" i="29"/>
  <c r="Q80" i="29"/>
  <c r="B69" i="34" s="1"/>
  <c r="P81" i="29"/>
  <c r="J81" i="29"/>
  <c r="K81" i="29"/>
  <c r="O81" i="29" s="1"/>
  <c r="G82" i="29"/>
  <c r="I82" i="29" s="1"/>
  <c r="L82" i="29" s="1"/>
  <c r="F82" i="29"/>
  <c r="H82" i="29" s="1"/>
  <c r="C82" i="29"/>
  <c r="M82" i="29" s="1"/>
  <c r="B83" i="29"/>
  <c r="Q81" i="24"/>
  <c r="C70" i="34" s="1"/>
  <c r="J82" i="24"/>
  <c r="O82" i="24"/>
  <c r="B84" i="24"/>
  <c r="G84" i="24" s="1"/>
  <c r="I83" i="24"/>
  <c r="L83" i="24" s="1"/>
  <c r="C83" i="24"/>
  <c r="M83" i="24" s="1"/>
  <c r="F83" i="24"/>
  <c r="H83" i="24" s="1"/>
  <c r="K83" i="24" s="1"/>
  <c r="P82" i="24"/>
  <c r="N82" i="24"/>
  <c r="J84" i="33" l="1"/>
  <c r="K84" i="33"/>
  <c r="O84" i="33" s="1"/>
  <c r="G85" i="33"/>
  <c r="I85" i="33" s="1"/>
  <c r="L85" i="33" s="1"/>
  <c r="B86" i="33"/>
  <c r="F85" i="33"/>
  <c r="H85" i="33" s="1"/>
  <c r="C85" i="33"/>
  <c r="M85" i="33" s="1"/>
  <c r="P84" i="33"/>
  <c r="Q84" i="33" s="1"/>
  <c r="N84" i="33"/>
  <c r="N83" i="33"/>
  <c r="Q83" i="33"/>
  <c r="N81" i="32"/>
  <c r="P82" i="32"/>
  <c r="Q81" i="32"/>
  <c r="K82" i="32"/>
  <c r="O82" i="32" s="1"/>
  <c r="J82" i="32"/>
  <c r="C83" i="32"/>
  <c r="M83" i="32" s="1"/>
  <c r="F83" i="32"/>
  <c r="H83" i="32" s="1"/>
  <c r="B84" i="32"/>
  <c r="G83" i="32"/>
  <c r="I83" i="32" s="1"/>
  <c r="L83" i="32" s="1"/>
  <c r="Q81" i="31"/>
  <c r="E70" i="34" s="1"/>
  <c r="N81" i="31"/>
  <c r="Q81" i="30"/>
  <c r="D70" i="34" s="1"/>
  <c r="P82" i="31"/>
  <c r="J82" i="31"/>
  <c r="K82" i="31"/>
  <c r="O82" i="31" s="1"/>
  <c r="G83" i="31"/>
  <c r="I83" i="31" s="1"/>
  <c r="L83" i="31" s="1"/>
  <c r="B84" i="31"/>
  <c r="C83" i="31"/>
  <c r="M83" i="31" s="1"/>
  <c r="F83" i="31"/>
  <c r="H83" i="31" s="1"/>
  <c r="P82" i="30"/>
  <c r="G83" i="30"/>
  <c r="I83" i="30" s="1"/>
  <c r="L83" i="30" s="1"/>
  <c r="B84" i="30"/>
  <c r="F83" i="30"/>
  <c r="H83" i="30" s="1"/>
  <c r="C83" i="30"/>
  <c r="M83" i="30" s="1"/>
  <c r="J82" i="30"/>
  <c r="K82" i="30"/>
  <c r="O82" i="30" s="1"/>
  <c r="B84" i="29"/>
  <c r="F83" i="29"/>
  <c r="H83" i="29" s="1"/>
  <c r="C83" i="29"/>
  <c r="M83" i="29" s="1"/>
  <c r="G83" i="29"/>
  <c r="I83" i="29" s="1"/>
  <c r="L83" i="29" s="1"/>
  <c r="N81" i="29"/>
  <c r="P82" i="29"/>
  <c r="J82" i="29"/>
  <c r="K82" i="29"/>
  <c r="O82" i="29" s="1"/>
  <c r="Q81" i="29"/>
  <c r="B70" i="34" s="1"/>
  <c r="Q82" i="24"/>
  <c r="C71" i="34" s="1"/>
  <c r="J83" i="24"/>
  <c r="O83" i="24"/>
  <c r="F84" i="24"/>
  <c r="H84" i="24" s="1"/>
  <c r="K84" i="24" s="1"/>
  <c r="B85" i="24"/>
  <c r="G85" i="24" s="1"/>
  <c r="I84" i="24"/>
  <c r="L84" i="24" s="1"/>
  <c r="C84" i="24"/>
  <c r="M84" i="24" s="1"/>
  <c r="P83" i="24"/>
  <c r="N83" i="24"/>
  <c r="G86" i="33" l="1"/>
  <c r="I86" i="33" s="1"/>
  <c r="L86" i="33" s="1"/>
  <c r="B87" i="33"/>
  <c r="F86" i="33"/>
  <c r="H86" i="33" s="1"/>
  <c r="C86" i="33"/>
  <c r="M86" i="33" s="1"/>
  <c r="J85" i="33"/>
  <c r="K85" i="33"/>
  <c r="O85" i="33" s="1"/>
  <c r="P85" i="33"/>
  <c r="J83" i="32"/>
  <c r="K83" i="32"/>
  <c r="O83" i="32" s="1"/>
  <c r="P83" i="32"/>
  <c r="F84" i="32"/>
  <c r="H84" i="32" s="1"/>
  <c r="C84" i="32"/>
  <c r="M84" i="32" s="1"/>
  <c r="B85" i="32"/>
  <c r="G84" i="32"/>
  <c r="I84" i="32" s="1"/>
  <c r="L84" i="32" s="1"/>
  <c r="Q82" i="32"/>
  <c r="N82" i="32"/>
  <c r="P83" i="31"/>
  <c r="C84" i="31"/>
  <c r="M84" i="31" s="1"/>
  <c r="B85" i="31"/>
  <c r="G84" i="31"/>
  <c r="I84" i="31" s="1"/>
  <c r="L84" i="31" s="1"/>
  <c r="F84" i="31"/>
  <c r="H84" i="31" s="1"/>
  <c r="J83" i="31"/>
  <c r="K83" i="31"/>
  <c r="O83" i="31" s="1"/>
  <c r="Q82" i="31"/>
  <c r="E71" i="34" s="1"/>
  <c r="N82" i="31"/>
  <c r="P83" i="30"/>
  <c r="K83" i="30"/>
  <c r="O83" i="30" s="1"/>
  <c r="J83" i="30"/>
  <c r="C84" i="30"/>
  <c r="M84" i="30" s="1"/>
  <c r="B85" i="30"/>
  <c r="G84" i="30"/>
  <c r="I84" i="30" s="1"/>
  <c r="L84" i="30" s="1"/>
  <c r="F84" i="30"/>
  <c r="H84" i="30" s="1"/>
  <c r="N82" i="30"/>
  <c r="Q82" i="30"/>
  <c r="D71" i="34" s="1"/>
  <c r="Q82" i="29"/>
  <c r="B71" i="34" s="1"/>
  <c r="P83" i="29"/>
  <c r="J83" i="29"/>
  <c r="K83" i="29"/>
  <c r="O83" i="29" s="1"/>
  <c r="N82" i="29"/>
  <c r="F84" i="29"/>
  <c r="H84" i="29" s="1"/>
  <c r="G84" i="29"/>
  <c r="I84" i="29" s="1"/>
  <c r="L84" i="29" s="1"/>
  <c r="C84" i="29"/>
  <c r="M84" i="29" s="1"/>
  <c r="B85" i="29"/>
  <c r="Q83" i="24"/>
  <c r="C72" i="34" s="1"/>
  <c r="F85" i="24"/>
  <c r="H85" i="24" s="1"/>
  <c r="K85" i="24" s="1"/>
  <c r="B86" i="24"/>
  <c r="G86" i="24" s="1"/>
  <c r="I85" i="24"/>
  <c r="L85" i="24" s="1"/>
  <c r="C85" i="24"/>
  <c r="M85" i="24" s="1"/>
  <c r="J84" i="24"/>
  <c r="O84" i="24"/>
  <c r="P84" i="24"/>
  <c r="N85" i="33" l="1"/>
  <c r="P86" i="33"/>
  <c r="C87" i="33"/>
  <c r="M87" i="33" s="1"/>
  <c r="G87" i="33"/>
  <c r="I87" i="33" s="1"/>
  <c r="L87" i="33" s="1"/>
  <c r="F87" i="33"/>
  <c r="H87" i="33" s="1"/>
  <c r="B88" i="33"/>
  <c r="Q85" i="33"/>
  <c r="J86" i="33"/>
  <c r="K86" i="33"/>
  <c r="O86" i="33" s="1"/>
  <c r="N83" i="32"/>
  <c r="G85" i="32"/>
  <c r="I85" i="32" s="1"/>
  <c r="L85" i="32" s="1"/>
  <c r="B86" i="32"/>
  <c r="F85" i="32"/>
  <c r="H85" i="32" s="1"/>
  <c r="C85" i="32"/>
  <c r="M85" i="32" s="1"/>
  <c r="P84" i="32"/>
  <c r="J84" i="32"/>
  <c r="K84" i="32"/>
  <c r="O84" i="32" s="1"/>
  <c r="Q83" i="32"/>
  <c r="J84" i="31"/>
  <c r="K84" i="31"/>
  <c r="O84" i="31" s="1"/>
  <c r="B86" i="31"/>
  <c r="G85" i="31"/>
  <c r="I85" i="31" s="1"/>
  <c r="L85" i="31" s="1"/>
  <c r="F85" i="31"/>
  <c r="H85" i="31" s="1"/>
  <c r="C85" i="31"/>
  <c r="M85" i="31" s="1"/>
  <c r="P84" i="31"/>
  <c r="N83" i="31"/>
  <c r="Q83" i="31"/>
  <c r="E72" i="34" s="1"/>
  <c r="J84" i="30"/>
  <c r="K84" i="30"/>
  <c r="O84" i="30" s="1"/>
  <c r="C85" i="30"/>
  <c r="M85" i="30" s="1"/>
  <c r="G85" i="30"/>
  <c r="I85" i="30" s="1"/>
  <c r="L85" i="30" s="1"/>
  <c r="B86" i="30"/>
  <c r="F85" i="30"/>
  <c r="H85" i="30" s="1"/>
  <c r="P84" i="30"/>
  <c r="N83" i="30"/>
  <c r="Q83" i="30"/>
  <c r="D72" i="34" s="1"/>
  <c r="G85" i="29"/>
  <c r="I85" i="29" s="1"/>
  <c r="L85" i="29" s="1"/>
  <c r="C85" i="29"/>
  <c r="M85" i="29" s="1"/>
  <c r="B86" i="29"/>
  <c r="F85" i="29"/>
  <c r="H85" i="29" s="1"/>
  <c r="J84" i="29"/>
  <c r="K84" i="29"/>
  <c r="O84" i="29" s="1"/>
  <c r="Q83" i="29"/>
  <c r="B72" i="34" s="1"/>
  <c r="P84" i="29"/>
  <c r="N83" i="29"/>
  <c r="Q84" i="24"/>
  <c r="C73" i="34" s="1"/>
  <c r="N84" i="24"/>
  <c r="P85" i="24"/>
  <c r="F86" i="24"/>
  <c r="H86" i="24" s="1"/>
  <c r="K86" i="24" s="1"/>
  <c r="B87" i="24"/>
  <c r="G87" i="24" s="1"/>
  <c r="I86" i="24"/>
  <c r="L86" i="24" s="1"/>
  <c r="C86" i="24"/>
  <c r="M86" i="24" s="1"/>
  <c r="J85" i="24"/>
  <c r="O85" i="24"/>
  <c r="Q84" i="31" l="1"/>
  <c r="E73" i="34" s="1"/>
  <c r="N84" i="31"/>
  <c r="G88" i="33"/>
  <c r="I88" i="33" s="1"/>
  <c r="L88" i="33" s="1"/>
  <c r="B89" i="33"/>
  <c r="F88" i="33"/>
  <c r="H88" i="33" s="1"/>
  <c r="C88" i="33"/>
  <c r="M88" i="33" s="1"/>
  <c r="P87" i="33"/>
  <c r="J87" i="33"/>
  <c r="K87" i="33"/>
  <c r="O87" i="33" s="1"/>
  <c r="N86" i="33"/>
  <c r="Q86" i="33"/>
  <c r="N84" i="32"/>
  <c r="P85" i="32"/>
  <c r="J85" i="32"/>
  <c r="K85" i="32"/>
  <c r="O85" i="32" s="1"/>
  <c r="C86" i="32"/>
  <c r="M86" i="32" s="1"/>
  <c r="B87" i="32"/>
  <c r="G86" i="32"/>
  <c r="I86" i="32" s="1"/>
  <c r="L86" i="32" s="1"/>
  <c r="F86" i="32"/>
  <c r="H86" i="32" s="1"/>
  <c r="Q84" i="32"/>
  <c r="N84" i="30"/>
  <c r="Q84" i="30"/>
  <c r="D73" i="34" s="1"/>
  <c r="P85" i="31"/>
  <c r="J85" i="31"/>
  <c r="K85" i="31"/>
  <c r="O85" i="31" s="1"/>
  <c r="G86" i="31"/>
  <c r="I86" i="31" s="1"/>
  <c r="L86" i="31" s="1"/>
  <c r="F86" i="31"/>
  <c r="H86" i="31" s="1"/>
  <c r="B87" i="31"/>
  <c r="C86" i="31"/>
  <c r="M86" i="31" s="1"/>
  <c r="J85" i="30"/>
  <c r="K85" i="30"/>
  <c r="O85" i="30" s="1"/>
  <c r="G86" i="30"/>
  <c r="I86" i="30" s="1"/>
  <c r="L86" i="30" s="1"/>
  <c r="B87" i="30"/>
  <c r="F86" i="30"/>
  <c r="H86" i="30" s="1"/>
  <c r="C86" i="30"/>
  <c r="M86" i="30" s="1"/>
  <c r="P85" i="30"/>
  <c r="N84" i="29"/>
  <c r="Q84" i="29"/>
  <c r="B73" i="34" s="1"/>
  <c r="J85" i="29"/>
  <c r="K85" i="29"/>
  <c r="O85" i="29" s="1"/>
  <c r="B87" i="29"/>
  <c r="F86" i="29"/>
  <c r="H86" i="29" s="1"/>
  <c r="C86" i="29"/>
  <c r="M86" i="29" s="1"/>
  <c r="G86" i="29"/>
  <c r="I86" i="29" s="1"/>
  <c r="L86" i="29" s="1"/>
  <c r="P85" i="29"/>
  <c r="Q85" i="29" s="1"/>
  <c r="B74" i="34" s="1"/>
  <c r="N85" i="29"/>
  <c r="P86" i="24"/>
  <c r="F87" i="24"/>
  <c r="H87" i="24" s="1"/>
  <c r="K87" i="24" s="1"/>
  <c r="B88" i="24"/>
  <c r="G88" i="24" s="1"/>
  <c r="I87" i="24"/>
  <c r="L87" i="24" s="1"/>
  <c r="C87" i="24"/>
  <c r="M87" i="24" s="1"/>
  <c r="J86" i="24"/>
  <c r="O86" i="24"/>
  <c r="Q85" i="24"/>
  <c r="C74" i="34" s="1"/>
  <c r="N85" i="24"/>
  <c r="N87" i="33" l="1"/>
  <c r="J88" i="33"/>
  <c r="K88" i="33"/>
  <c r="O88" i="33" s="1"/>
  <c r="Q87" i="33"/>
  <c r="G89" i="33"/>
  <c r="I89" i="33" s="1"/>
  <c r="L89" i="33" s="1"/>
  <c r="B90" i="33"/>
  <c r="F89" i="33"/>
  <c r="H89" i="33" s="1"/>
  <c r="C89" i="33"/>
  <c r="M89" i="33" s="1"/>
  <c r="P88" i="33"/>
  <c r="Q88" i="33" s="1"/>
  <c r="N88" i="33"/>
  <c r="N85" i="32"/>
  <c r="Q85" i="32"/>
  <c r="P86" i="32"/>
  <c r="J86" i="32"/>
  <c r="K86" i="32"/>
  <c r="O86" i="32" s="1"/>
  <c r="F87" i="32"/>
  <c r="H87" i="32" s="1"/>
  <c r="C87" i="32"/>
  <c r="M87" i="32" s="1"/>
  <c r="B88" i="32"/>
  <c r="G87" i="32"/>
  <c r="I87" i="32" s="1"/>
  <c r="L87" i="32" s="1"/>
  <c r="N85" i="30"/>
  <c r="Q85" i="30"/>
  <c r="D74" i="34" s="1"/>
  <c r="C87" i="31"/>
  <c r="M87" i="31" s="1"/>
  <c r="G87" i="31"/>
  <c r="I87" i="31" s="1"/>
  <c r="L87" i="31" s="1"/>
  <c r="F87" i="31"/>
  <c r="H87" i="31" s="1"/>
  <c r="B88" i="31"/>
  <c r="J86" i="31"/>
  <c r="K86" i="31"/>
  <c r="O86" i="31" s="1"/>
  <c r="N85" i="31"/>
  <c r="P86" i="31"/>
  <c r="Q85" i="31"/>
  <c r="E74" i="34" s="1"/>
  <c r="P86" i="30"/>
  <c r="J86" i="30"/>
  <c r="K86" i="30"/>
  <c r="O86" i="30" s="1"/>
  <c r="C87" i="30"/>
  <c r="M87" i="30" s="1"/>
  <c r="G87" i="30"/>
  <c r="I87" i="30" s="1"/>
  <c r="L87" i="30" s="1"/>
  <c r="F87" i="30"/>
  <c r="H87" i="30" s="1"/>
  <c r="B88" i="30"/>
  <c r="P86" i="29"/>
  <c r="J86" i="29"/>
  <c r="K86" i="29"/>
  <c r="O86" i="29" s="1"/>
  <c r="B88" i="29"/>
  <c r="G87" i="29"/>
  <c r="I87" i="29" s="1"/>
  <c r="L87" i="29" s="1"/>
  <c r="F87" i="29"/>
  <c r="H87" i="29" s="1"/>
  <c r="C87" i="29"/>
  <c r="M87" i="29" s="1"/>
  <c r="F88" i="24"/>
  <c r="H88" i="24" s="1"/>
  <c r="K88" i="24" s="1"/>
  <c r="B89" i="24"/>
  <c r="G89" i="24" s="1"/>
  <c r="I88" i="24"/>
  <c r="L88" i="24" s="1"/>
  <c r="C88" i="24"/>
  <c r="M88" i="24" s="1"/>
  <c r="P87" i="24"/>
  <c r="J87" i="24"/>
  <c r="O87" i="24"/>
  <c r="Q86" i="24"/>
  <c r="C75" i="34" s="1"/>
  <c r="N86" i="24"/>
  <c r="P89" i="33" l="1"/>
  <c r="J89" i="33"/>
  <c r="K89" i="33"/>
  <c r="O89" i="33" s="1"/>
  <c r="C90" i="33"/>
  <c r="M90" i="33" s="1"/>
  <c r="B91" i="33"/>
  <c r="G90" i="33"/>
  <c r="I90" i="33" s="1"/>
  <c r="L90" i="33" s="1"/>
  <c r="F90" i="33"/>
  <c r="H90" i="33" s="1"/>
  <c r="P87" i="32"/>
  <c r="J87" i="32"/>
  <c r="K87" i="32"/>
  <c r="O87" i="32" s="1"/>
  <c r="G88" i="32"/>
  <c r="I88" i="32" s="1"/>
  <c r="L88" i="32" s="1"/>
  <c r="C88" i="32"/>
  <c r="M88" i="32" s="1"/>
  <c r="B89" i="32"/>
  <c r="F88" i="32"/>
  <c r="H88" i="32" s="1"/>
  <c r="Q86" i="32"/>
  <c r="N86" i="32"/>
  <c r="N86" i="31"/>
  <c r="Q86" i="31"/>
  <c r="E75" i="34" s="1"/>
  <c r="G88" i="31"/>
  <c r="I88" i="31" s="1"/>
  <c r="L88" i="31" s="1"/>
  <c r="B89" i="31"/>
  <c r="F88" i="31"/>
  <c r="H88" i="31" s="1"/>
  <c r="C88" i="31"/>
  <c r="M88" i="31" s="1"/>
  <c r="J87" i="31"/>
  <c r="K87" i="31"/>
  <c r="O87" i="31" s="1"/>
  <c r="P87" i="31"/>
  <c r="G88" i="30"/>
  <c r="I88" i="30" s="1"/>
  <c r="L88" i="30" s="1"/>
  <c r="B89" i="30"/>
  <c r="C88" i="30"/>
  <c r="M88" i="30" s="1"/>
  <c r="F88" i="30"/>
  <c r="H88" i="30" s="1"/>
  <c r="J87" i="30"/>
  <c r="K87" i="30"/>
  <c r="O87" i="30" s="1"/>
  <c r="P87" i="30"/>
  <c r="N86" i="30"/>
  <c r="Q86" i="30"/>
  <c r="D75" i="34" s="1"/>
  <c r="Q86" i="29"/>
  <c r="B75" i="34" s="1"/>
  <c r="P87" i="29"/>
  <c r="J87" i="29"/>
  <c r="K87" i="29"/>
  <c r="O87" i="29" s="1"/>
  <c r="G88" i="29"/>
  <c r="I88" i="29" s="1"/>
  <c r="L88" i="29" s="1"/>
  <c r="B89" i="29"/>
  <c r="F88" i="29"/>
  <c r="H88" i="29" s="1"/>
  <c r="C88" i="29"/>
  <c r="M88" i="29" s="1"/>
  <c r="N86" i="29"/>
  <c r="N87" i="24"/>
  <c r="P88" i="24"/>
  <c r="Q87" i="24"/>
  <c r="C76" i="34" s="1"/>
  <c r="F89" i="24"/>
  <c r="H89" i="24" s="1"/>
  <c r="K89" i="24" s="1"/>
  <c r="B90" i="24"/>
  <c r="G90" i="24" s="1"/>
  <c r="I89" i="24"/>
  <c r="L89" i="24" s="1"/>
  <c r="C89" i="24"/>
  <c r="M89" i="24" s="1"/>
  <c r="J88" i="24"/>
  <c r="O88" i="24"/>
  <c r="N87" i="30" l="1"/>
  <c r="Q87" i="30"/>
  <c r="D76" i="34" s="1"/>
  <c r="N87" i="31"/>
  <c r="J90" i="33"/>
  <c r="K90" i="33"/>
  <c r="O90" i="33" s="1"/>
  <c r="P90" i="33"/>
  <c r="N89" i="33"/>
  <c r="G91" i="33"/>
  <c r="I91" i="33" s="1"/>
  <c r="L91" i="33" s="1"/>
  <c r="B92" i="33"/>
  <c r="F91" i="33"/>
  <c r="H91" i="33" s="1"/>
  <c r="C91" i="33"/>
  <c r="M91" i="33" s="1"/>
  <c r="Q89" i="33"/>
  <c r="P88" i="32"/>
  <c r="C89" i="32"/>
  <c r="M89" i="32" s="1"/>
  <c r="B90" i="32"/>
  <c r="G89" i="32"/>
  <c r="I89" i="32" s="1"/>
  <c r="L89" i="32" s="1"/>
  <c r="F89" i="32"/>
  <c r="H89" i="32" s="1"/>
  <c r="J88" i="32"/>
  <c r="K88" i="32"/>
  <c r="O88" i="32" s="1"/>
  <c r="N87" i="32"/>
  <c r="Q87" i="32"/>
  <c r="Q87" i="31"/>
  <c r="E76" i="34" s="1"/>
  <c r="P88" i="31"/>
  <c r="J88" i="31"/>
  <c r="K88" i="31"/>
  <c r="O88" i="31" s="1"/>
  <c r="G89" i="31"/>
  <c r="I89" i="31" s="1"/>
  <c r="L89" i="31" s="1"/>
  <c r="C89" i="31"/>
  <c r="M89" i="31" s="1"/>
  <c r="B90" i="31"/>
  <c r="F89" i="31"/>
  <c r="H89" i="31" s="1"/>
  <c r="J88" i="30"/>
  <c r="K88" i="30"/>
  <c r="O88" i="30" s="1"/>
  <c r="P88" i="30"/>
  <c r="G89" i="30"/>
  <c r="I89" i="30" s="1"/>
  <c r="L89" i="30" s="1"/>
  <c r="B90" i="30"/>
  <c r="F89" i="30"/>
  <c r="H89" i="30" s="1"/>
  <c r="C89" i="30"/>
  <c r="M89" i="30" s="1"/>
  <c r="J88" i="29"/>
  <c r="K88" i="29"/>
  <c r="O88" i="29" s="1"/>
  <c r="P88" i="29"/>
  <c r="B90" i="29"/>
  <c r="F89" i="29"/>
  <c r="H89" i="29" s="1"/>
  <c r="C89" i="29"/>
  <c r="M89" i="29" s="1"/>
  <c r="G89" i="29"/>
  <c r="I89" i="29" s="1"/>
  <c r="L89" i="29" s="1"/>
  <c r="N87" i="29"/>
  <c r="Q87" i="29"/>
  <c r="B76" i="34" s="1"/>
  <c r="Q88" i="24"/>
  <c r="C77" i="34" s="1"/>
  <c r="F90" i="24"/>
  <c r="H90" i="24" s="1"/>
  <c r="K90" i="24" s="1"/>
  <c r="B91" i="24"/>
  <c r="G91" i="24" s="1"/>
  <c r="I90" i="24"/>
  <c r="L90" i="24" s="1"/>
  <c r="C90" i="24"/>
  <c r="M90" i="24" s="1"/>
  <c r="J89" i="24"/>
  <c r="O89" i="24"/>
  <c r="P89" i="24"/>
  <c r="N88" i="24"/>
  <c r="N90" i="33" l="1"/>
  <c r="Q90" i="33"/>
  <c r="J91" i="33"/>
  <c r="K91" i="33"/>
  <c r="O91" i="33" s="1"/>
  <c r="P91" i="33"/>
  <c r="G92" i="33"/>
  <c r="I92" i="33" s="1"/>
  <c r="L92" i="33" s="1"/>
  <c r="B93" i="33"/>
  <c r="F92" i="33"/>
  <c r="H92" i="33" s="1"/>
  <c r="C92" i="33"/>
  <c r="M92" i="33" s="1"/>
  <c r="J89" i="32"/>
  <c r="K89" i="32"/>
  <c r="O89" i="32" s="1"/>
  <c r="F90" i="32"/>
  <c r="H90" i="32" s="1"/>
  <c r="C90" i="32"/>
  <c r="M90" i="32" s="1"/>
  <c r="B91" i="32"/>
  <c r="G90" i="32"/>
  <c r="I90" i="32" s="1"/>
  <c r="L90" i="32" s="1"/>
  <c r="N88" i="32"/>
  <c r="P89" i="32"/>
  <c r="Q88" i="32"/>
  <c r="Q88" i="30"/>
  <c r="D77" i="34" s="1"/>
  <c r="N88" i="30"/>
  <c r="C90" i="31"/>
  <c r="M90" i="31" s="1"/>
  <c r="F90" i="31"/>
  <c r="H90" i="31" s="1"/>
  <c r="G90" i="31"/>
  <c r="I90" i="31" s="1"/>
  <c r="L90" i="31" s="1"/>
  <c r="B91" i="31"/>
  <c r="Q88" i="31"/>
  <c r="E77" i="34" s="1"/>
  <c r="J89" i="31"/>
  <c r="K89" i="31"/>
  <c r="O89" i="31" s="1"/>
  <c r="P89" i="31"/>
  <c r="N88" i="31"/>
  <c r="P89" i="30"/>
  <c r="J89" i="30"/>
  <c r="K89" i="30"/>
  <c r="O89" i="30" s="1"/>
  <c r="C90" i="30"/>
  <c r="M90" i="30" s="1"/>
  <c r="G90" i="30"/>
  <c r="I90" i="30" s="1"/>
  <c r="L90" i="30" s="1"/>
  <c r="B91" i="30"/>
  <c r="F90" i="30"/>
  <c r="H90" i="30" s="1"/>
  <c r="Q88" i="29"/>
  <c r="B77" i="34" s="1"/>
  <c r="N88" i="29"/>
  <c r="C90" i="29"/>
  <c r="M90" i="29" s="1"/>
  <c r="B91" i="29"/>
  <c r="G90" i="29"/>
  <c r="I90" i="29" s="1"/>
  <c r="L90" i="29" s="1"/>
  <c r="F90" i="29"/>
  <c r="H90" i="29" s="1"/>
  <c r="J89" i="29"/>
  <c r="K89" i="29"/>
  <c r="O89" i="29" s="1"/>
  <c r="P89" i="29"/>
  <c r="N89" i="24"/>
  <c r="Q89" i="24"/>
  <c r="C78" i="34" s="1"/>
  <c r="P90" i="24"/>
  <c r="F91" i="24"/>
  <c r="H91" i="24" s="1"/>
  <c r="K91" i="24" s="1"/>
  <c r="B92" i="24"/>
  <c r="G92" i="24" s="1"/>
  <c r="I91" i="24"/>
  <c r="L91" i="24" s="1"/>
  <c r="C91" i="24"/>
  <c r="M91" i="24" s="1"/>
  <c r="J90" i="24"/>
  <c r="O90" i="24"/>
  <c r="Q91" i="33" l="1"/>
  <c r="N91" i="33"/>
  <c r="K92" i="33"/>
  <c r="O92" i="33" s="1"/>
  <c r="J92" i="33"/>
  <c r="P92" i="33"/>
  <c r="C93" i="33"/>
  <c r="M93" i="33" s="1"/>
  <c r="B94" i="33"/>
  <c r="G93" i="33"/>
  <c r="I93" i="33" s="1"/>
  <c r="L93" i="33" s="1"/>
  <c r="F93" i="33"/>
  <c r="H93" i="33" s="1"/>
  <c r="N89" i="32"/>
  <c r="Q89" i="32"/>
  <c r="G91" i="32"/>
  <c r="I91" i="32" s="1"/>
  <c r="L91" i="32" s="1"/>
  <c r="C91" i="32"/>
  <c r="M91" i="32" s="1"/>
  <c r="B92" i="32"/>
  <c r="F91" i="32"/>
  <c r="H91" i="32" s="1"/>
  <c r="P90" i="32"/>
  <c r="J90" i="32"/>
  <c r="K90" i="32"/>
  <c r="O90" i="32" s="1"/>
  <c r="Q89" i="31"/>
  <c r="E78" i="34" s="1"/>
  <c r="N89" i="31"/>
  <c r="B92" i="31"/>
  <c r="G91" i="31"/>
  <c r="I91" i="31" s="1"/>
  <c r="L91" i="31" s="1"/>
  <c r="F91" i="31"/>
  <c r="H91" i="31" s="1"/>
  <c r="C91" i="31"/>
  <c r="M91" i="31" s="1"/>
  <c r="J90" i="31"/>
  <c r="K90" i="31"/>
  <c r="O90" i="31" s="1"/>
  <c r="P90" i="31"/>
  <c r="J90" i="30"/>
  <c r="K90" i="30"/>
  <c r="O90" i="30" s="1"/>
  <c r="B92" i="30"/>
  <c r="F91" i="30"/>
  <c r="H91" i="30" s="1"/>
  <c r="C91" i="30"/>
  <c r="M91" i="30" s="1"/>
  <c r="G91" i="30"/>
  <c r="I91" i="30" s="1"/>
  <c r="L91" i="30" s="1"/>
  <c r="P90" i="30"/>
  <c r="Q89" i="30"/>
  <c r="D78" i="34" s="1"/>
  <c r="N89" i="30"/>
  <c r="N89" i="29"/>
  <c r="Q89" i="29"/>
  <c r="B78" i="34" s="1"/>
  <c r="J90" i="29"/>
  <c r="K90" i="29"/>
  <c r="O90" i="29" s="1"/>
  <c r="G91" i="29"/>
  <c r="I91" i="29" s="1"/>
  <c r="L91" i="29" s="1"/>
  <c r="B92" i="29"/>
  <c r="F91" i="29"/>
  <c r="H91" i="29" s="1"/>
  <c r="C91" i="29"/>
  <c r="M91" i="29" s="1"/>
  <c r="P90" i="29"/>
  <c r="Q90" i="29" s="1"/>
  <c r="B79" i="34" s="1"/>
  <c r="N90" i="29"/>
  <c r="P91" i="24"/>
  <c r="F92" i="24"/>
  <c r="H92" i="24" s="1"/>
  <c r="K92" i="24" s="1"/>
  <c r="B93" i="24"/>
  <c r="G93" i="24" s="1"/>
  <c r="I92" i="24"/>
  <c r="L92" i="24" s="1"/>
  <c r="C92" i="24"/>
  <c r="M92" i="24" s="1"/>
  <c r="J91" i="24"/>
  <c r="O91" i="24"/>
  <c r="Q90" i="24"/>
  <c r="C79" i="34" s="1"/>
  <c r="N90" i="24"/>
  <c r="N92" i="33" l="1"/>
  <c r="Q92" i="33"/>
  <c r="J93" i="33"/>
  <c r="K93" i="33"/>
  <c r="O93" i="33" s="1"/>
  <c r="G94" i="33"/>
  <c r="I94" i="33" s="1"/>
  <c r="L94" i="33" s="1"/>
  <c r="B95" i="33"/>
  <c r="F94" i="33"/>
  <c r="H94" i="33" s="1"/>
  <c r="C94" i="33"/>
  <c r="M94" i="33" s="1"/>
  <c r="P93" i="33"/>
  <c r="Q93" i="33" s="1"/>
  <c r="N93" i="33"/>
  <c r="N90" i="32"/>
  <c r="Q90" i="32"/>
  <c r="J91" i="32"/>
  <c r="K91" i="32"/>
  <c r="O91" i="32" s="1"/>
  <c r="C92" i="32"/>
  <c r="M92" i="32" s="1"/>
  <c r="B93" i="32"/>
  <c r="G92" i="32"/>
  <c r="I92" i="32" s="1"/>
  <c r="L92" i="32" s="1"/>
  <c r="F92" i="32"/>
  <c r="H92" i="32" s="1"/>
  <c r="P91" i="32"/>
  <c r="Q91" i="32" s="1"/>
  <c r="N91" i="32"/>
  <c r="Q90" i="31"/>
  <c r="E79" i="34" s="1"/>
  <c r="N90" i="31"/>
  <c r="N90" i="30"/>
  <c r="Q90" i="30"/>
  <c r="D79" i="34" s="1"/>
  <c r="P91" i="31"/>
  <c r="J91" i="31"/>
  <c r="K91" i="31"/>
  <c r="O91" i="31" s="1"/>
  <c r="G92" i="31"/>
  <c r="I92" i="31" s="1"/>
  <c r="L92" i="31" s="1"/>
  <c r="C92" i="31"/>
  <c r="M92" i="31" s="1"/>
  <c r="B93" i="31"/>
  <c r="F92" i="31"/>
  <c r="H92" i="31" s="1"/>
  <c r="P91" i="30"/>
  <c r="J91" i="30"/>
  <c r="K91" i="30"/>
  <c r="O91" i="30" s="1"/>
  <c r="G92" i="30"/>
  <c r="I92" i="30" s="1"/>
  <c r="L92" i="30" s="1"/>
  <c r="B93" i="30"/>
  <c r="F92" i="30"/>
  <c r="H92" i="30" s="1"/>
  <c r="C92" i="30"/>
  <c r="M92" i="30" s="1"/>
  <c r="P91" i="29"/>
  <c r="J91" i="29"/>
  <c r="K91" i="29"/>
  <c r="O91" i="29" s="1"/>
  <c r="B93" i="29"/>
  <c r="F92" i="29"/>
  <c r="H92" i="29" s="1"/>
  <c r="C92" i="29"/>
  <c r="M92" i="29" s="1"/>
  <c r="G92" i="29"/>
  <c r="I92" i="29" s="1"/>
  <c r="L92" i="29" s="1"/>
  <c r="P92" i="24"/>
  <c r="F93" i="24"/>
  <c r="H93" i="24" s="1"/>
  <c r="K93" i="24" s="1"/>
  <c r="B94" i="24"/>
  <c r="G94" i="24" s="1"/>
  <c r="I93" i="24"/>
  <c r="L93" i="24" s="1"/>
  <c r="C93" i="24"/>
  <c r="M93" i="24" s="1"/>
  <c r="J92" i="24"/>
  <c r="O92" i="24"/>
  <c r="Q91" i="24"/>
  <c r="C80" i="34" s="1"/>
  <c r="N91" i="24"/>
  <c r="P94" i="33" l="1"/>
  <c r="J94" i="33"/>
  <c r="K94" i="33"/>
  <c r="O94" i="33" s="1"/>
  <c r="G95" i="33"/>
  <c r="I95" i="33" s="1"/>
  <c r="L95" i="33" s="1"/>
  <c r="B96" i="33"/>
  <c r="F95" i="33"/>
  <c r="H95" i="33" s="1"/>
  <c r="C95" i="33"/>
  <c r="M95" i="33" s="1"/>
  <c r="P92" i="32"/>
  <c r="J92" i="32"/>
  <c r="K92" i="32"/>
  <c r="O92" i="32" s="1"/>
  <c r="F93" i="32"/>
  <c r="H93" i="32" s="1"/>
  <c r="C93" i="32"/>
  <c r="M93" i="32" s="1"/>
  <c r="G93" i="32"/>
  <c r="I93" i="32" s="1"/>
  <c r="L93" i="32" s="1"/>
  <c r="B94" i="32"/>
  <c r="P92" i="31"/>
  <c r="J92" i="31"/>
  <c r="K92" i="31"/>
  <c r="O92" i="31" s="1"/>
  <c r="Q91" i="31"/>
  <c r="E80" i="34" s="1"/>
  <c r="C93" i="31"/>
  <c r="M93" i="31" s="1"/>
  <c r="G93" i="31"/>
  <c r="I93" i="31" s="1"/>
  <c r="L93" i="31" s="1"/>
  <c r="B94" i="31"/>
  <c r="F93" i="31"/>
  <c r="H93" i="31" s="1"/>
  <c r="N91" i="31"/>
  <c r="P92" i="30"/>
  <c r="J92" i="30"/>
  <c r="K92" i="30"/>
  <c r="O92" i="30" s="1"/>
  <c r="C93" i="30"/>
  <c r="M93" i="30" s="1"/>
  <c r="G93" i="30"/>
  <c r="I93" i="30" s="1"/>
  <c r="L93" i="30" s="1"/>
  <c r="F93" i="30"/>
  <c r="H93" i="30" s="1"/>
  <c r="B94" i="30"/>
  <c r="Q91" i="30"/>
  <c r="D80" i="34" s="1"/>
  <c r="N91" i="30"/>
  <c r="P92" i="29"/>
  <c r="N91" i="29"/>
  <c r="J92" i="29"/>
  <c r="K92" i="29"/>
  <c r="O92" i="29" s="1"/>
  <c r="F93" i="29"/>
  <c r="H93" i="29" s="1"/>
  <c r="C93" i="29"/>
  <c r="M93" i="29" s="1"/>
  <c r="B94" i="29"/>
  <c r="G93" i="29"/>
  <c r="I93" i="29" s="1"/>
  <c r="L93" i="29" s="1"/>
  <c r="Q91" i="29"/>
  <c r="B80" i="34" s="1"/>
  <c r="P93" i="24"/>
  <c r="F94" i="24"/>
  <c r="H94" i="24" s="1"/>
  <c r="K94" i="24" s="1"/>
  <c r="B95" i="24"/>
  <c r="G95" i="24" s="1"/>
  <c r="I94" i="24"/>
  <c r="L94" i="24" s="1"/>
  <c r="C94" i="24"/>
  <c r="M94" i="24" s="1"/>
  <c r="J93" i="24"/>
  <c r="O93" i="24"/>
  <c r="Q92" i="24"/>
  <c r="C81" i="34" s="1"/>
  <c r="N92" i="24"/>
  <c r="J95" i="33" l="1"/>
  <c r="K95" i="33"/>
  <c r="O95" i="33" s="1"/>
  <c r="N94" i="33"/>
  <c r="P95" i="33"/>
  <c r="C96" i="33"/>
  <c r="M96" i="33" s="1"/>
  <c r="G96" i="33"/>
  <c r="I96" i="33" s="1"/>
  <c r="L96" i="33" s="1"/>
  <c r="F96" i="33"/>
  <c r="H96" i="33" s="1"/>
  <c r="B97" i="33"/>
  <c r="Q94" i="33"/>
  <c r="G94" i="32"/>
  <c r="I94" i="32" s="1"/>
  <c r="L94" i="32" s="1"/>
  <c r="C94" i="32"/>
  <c r="M94" i="32" s="1"/>
  <c r="B95" i="32"/>
  <c r="F94" i="32"/>
  <c r="H94" i="32" s="1"/>
  <c r="P93" i="32"/>
  <c r="J93" i="32"/>
  <c r="K93" i="32"/>
  <c r="O93" i="32" s="1"/>
  <c r="Q92" i="32"/>
  <c r="N92" i="32"/>
  <c r="P93" i="31"/>
  <c r="F94" i="31"/>
  <c r="H94" i="31" s="1"/>
  <c r="C94" i="31"/>
  <c r="M94" i="31" s="1"/>
  <c r="B95" i="31"/>
  <c r="G94" i="31"/>
  <c r="I94" i="31" s="1"/>
  <c r="L94" i="31" s="1"/>
  <c r="N92" i="31"/>
  <c r="J93" i="31"/>
  <c r="K93" i="31"/>
  <c r="O93" i="31" s="1"/>
  <c r="Q92" i="31"/>
  <c r="E81" i="34" s="1"/>
  <c r="C94" i="30"/>
  <c r="M94" i="30" s="1"/>
  <c r="G94" i="30"/>
  <c r="I94" i="30" s="1"/>
  <c r="L94" i="30" s="1"/>
  <c r="B95" i="30"/>
  <c r="F94" i="30"/>
  <c r="H94" i="30" s="1"/>
  <c r="J93" i="30"/>
  <c r="K93" i="30"/>
  <c r="O93" i="30" s="1"/>
  <c r="P93" i="30"/>
  <c r="Q92" i="30"/>
  <c r="D81" i="34" s="1"/>
  <c r="N92" i="30"/>
  <c r="G94" i="29"/>
  <c r="I94" i="29" s="1"/>
  <c r="L94" i="29" s="1"/>
  <c r="B95" i="29"/>
  <c r="F94" i="29"/>
  <c r="H94" i="29" s="1"/>
  <c r="C94" i="29"/>
  <c r="M94" i="29" s="1"/>
  <c r="J93" i="29"/>
  <c r="K93" i="29"/>
  <c r="O93" i="29" s="1"/>
  <c r="Q92" i="29"/>
  <c r="B81" i="34" s="1"/>
  <c r="P93" i="29"/>
  <c r="N92" i="29"/>
  <c r="P94" i="24"/>
  <c r="F95" i="24"/>
  <c r="H95" i="24" s="1"/>
  <c r="K95" i="24" s="1"/>
  <c r="B96" i="24"/>
  <c r="G96" i="24" s="1"/>
  <c r="I95" i="24"/>
  <c r="L95" i="24" s="1"/>
  <c r="C95" i="24"/>
  <c r="M95" i="24" s="1"/>
  <c r="J94" i="24"/>
  <c r="O94" i="24"/>
  <c r="Q93" i="24"/>
  <c r="C82" i="34" s="1"/>
  <c r="N93" i="24"/>
  <c r="N95" i="33" l="1"/>
  <c r="Q95" i="33"/>
  <c r="G97" i="33"/>
  <c r="I97" i="33" s="1"/>
  <c r="L97" i="33" s="1"/>
  <c r="B98" i="33"/>
  <c r="F97" i="33"/>
  <c r="H97" i="33" s="1"/>
  <c r="C97" i="33"/>
  <c r="M97" i="33" s="1"/>
  <c r="J96" i="33"/>
  <c r="K96" i="33"/>
  <c r="O96" i="33" s="1"/>
  <c r="P96" i="33"/>
  <c r="N96" i="33"/>
  <c r="N93" i="32"/>
  <c r="Q93" i="32"/>
  <c r="J94" i="32"/>
  <c r="K94" i="32"/>
  <c r="O94" i="32" s="1"/>
  <c r="C95" i="32"/>
  <c r="M95" i="32" s="1"/>
  <c r="B96" i="32"/>
  <c r="G95" i="32"/>
  <c r="I95" i="32" s="1"/>
  <c r="L95" i="32" s="1"/>
  <c r="F95" i="32"/>
  <c r="H95" i="32" s="1"/>
  <c r="P94" i="32"/>
  <c r="Q94" i="32" s="1"/>
  <c r="Q93" i="30"/>
  <c r="D82" i="34" s="1"/>
  <c r="N93" i="30"/>
  <c r="P94" i="31"/>
  <c r="J94" i="31"/>
  <c r="K94" i="31"/>
  <c r="O94" i="31" s="1"/>
  <c r="G95" i="31"/>
  <c r="I95" i="31" s="1"/>
  <c r="L95" i="31" s="1"/>
  <c r="F95" i="31"/>
  <c r="H95" i="31" s="1"/>
  <c r="B96" i="31"/>
  <c r="C95" i="31"/>
  <c r="M95" i="31" s="1"/>
  <c r="N93" i="31"/>
  <c r="Q93" i="31"/>
  <c r="E82" i="34" s="1"/>
  <c r="J94" i="30"/>
  <c r="K94" i="30"/>
  <c r="O94" i="30" s="1"/>
  <c r="G95" i="30"/>
  <c r="I95" i="30" s="1"/>
  <c r="L95" i="30" s="1"/>
  <c r="B96" i="30"/>
  <c r="F95" i="30"/>
  <c r="H95" i="30" s="1"/>
  <c r="C95" i="30"/>
  <c r="M95" i="30" s="1"/>
  <c r="P94" i="30"/>
  <c r="N93" i="29"/>
  <c r="Q93" i="29"/>
  <c r="B82" i="34" s="1"/>
  <c r="J94" i="29"/>
  <c r="K94" i="29"/>
  <c r="O94" i="29" s="1"/>
  <c r="B96" i="29"/>
  <c r="F95" i="29"/>
  <c r="H95" i="29" s="1"/>
  <c r="C95" i="29"/>
  <c r="M95" i="29" s="1"/>
  <c r="G95" i="29"/>
  <c r="I95" i="29" s="1"/>
  <c r="L95" i="29" s="1"/>
  <c r="P94" i="29"/>
  <c r="Q94" i="29" s="1"/>
  <c r="B83" i="34" s="1"/>
  <c r="N94" i="29"/>
  <c r="F96" i="24"/>
  <c r="H96" i="24" s="1"/>
  <c r="K96" i="24" s="1"/>
  <c r="B97" i="24"/>
  <c r="G97" i="24" s="1"/>
  <c r="I96" i="24"/>
  <c r="L96" i="24" s="1"/>
  <c r="C96" i="24"/>
  <c r="M96" i="24" s="1"/>
  <c r="J95" i="24"/>
  <c r="O95" i="24"/>
  <c r="Q94" i="24"/>
  <c r="C83" i="34" s="1"/>
  <c r="N95" i="24"/>
  <c r="P95" i="24"/>
  <c r="N94" i="24"/>
  <c r="N94" i="30" l="1"/>
  <c r="Q96" i="33"/>
  <c r="J97" i="33"/>
  <c r="K97" i="33"/>
  <c r="O97" i="33" s="1"/>
  <c r="G98" i="33"/>
  <c r="I98" i="33" s="1"/>
  <c r="L98" i="33" s="1"/>
  <c r="B99" i="33"/>
  <c r="F98" i="33"/>
  <c r="H98" i="33" s="1"/>
  <c r="C98" i="33"/>
  <c r="M98" i="33" s="1"/>
  <c r="P97" i="33"/>
  <c r="N97" i="33"/>
  <c r="N94" i="32"/>
  <c r="J95" i="32"/>
  <c r="K95" i="32"/>
  <c r="O95" i="32" s="1"/>
  <c r="F96" i="32"/>
  <c r="H96" i="32" s="1"/>
  <c r="C96" i="32"/>
  <c r="M96" i="32" s="1"/>
  <c r="B97" i="32"/>
  <c r="G96" i="32"/>
  <c r="I96" i="32" s="1"/>
  <c r="L96" i="32" s="1"/>
  <c r="P95" i="32"/>
  <c r="Q94" i="30"/>
  <c r="D83" i="34" s="1"/>
  <c r="J95" i="31"/>
  <c r="K95" i="31"/>
  <c r="O95" i="31" s="1"/>
  <c r="P95" i="31"/>
  <c r="Q94" i="31"/>
  <c r="E83" i="34" s="1"/>
  <c r="C96" i="31"/>
  <c r="M96" i="31" s="1"/>
  <c r="F96" i="31"/>
  <c r="H96" i="31" s="1"/>
  <c r="G96" i="31"/>
  <c r="I96" i="31" s="1"/>
  <c r="L96" i="31" s="1"/>
  <c r="B97" i="31"/>
  <c r="N94" i="31"/>
  <c r="P95" i="30"/>
  <c r="K95" i="30"/>
  <c r="O95" i="30" s="1"/>
  <c r="J95" i="30"/>
  <c r="C96" i="30"/>
  <c r="M96" i="30" s="1"/>
  <c r="G96" i="30"/>
  <c r="I96" i="30" s="1"/>
  <c r="L96" i="30" s="1"/>
  <c r="B97" i="30"/>
  <c r="F96" i="30"/>
  <c r="H96" i="30" s="1"/>
  <c r="J95" i="29"/>
  <c r="K95" i="29"/>
  <c r="O95" i="29" s="1"/>
  <c r="F96" i="29"/>
  <c r="H96" i="29" s="1"/>
  <c r="G96" i="29"/>
  <c r="I96" i="29" s="1"/>
  <c r="L96" i="29" s="1"/>
  <c r="C96" i="29"/>
  <c r="M96" i="29" s="1"/>
  <c r="B97" i="29"/>
  <c r="P95" i="29"/>
  <c r="Q95" i="29" s="1"/>
  <c r="B84" i="34" s="1"/>
  <c r="N95" i="29"/>
  <c r="P96" i="24"/>
  <c r="F97" i="24"/>
  <c r="H97" i="24" s="1"/>
  <c r="K97" i="24" s="1"/>
  <c r="B98" i="24"/>
  <c r="G98" i="24" s="1"/>
  <c r="I97" i="24"/>
  <c r="L97" i="24" s="1"/>
  <c r="C97" i="24"/>
  <c r="M97" i="24" s="1"/>
  <c r="Q95" i="24"/>
  <c r="C84" i="34" s="1"/>
  <c r="J96" i="24"/>
  <c r="O96" i="24"/>
  <c r="N95" i="32" l="1"/>
  <c r="Q95" i="32"/>
  <c r="Q97" i="33"/>
  <c r="P98" i="33"/>
  <c r="J98" i="33"/>
  <c r="K98" i="33"/>
  <c r="O98" i="33" s="1"/>
  <c r="C99" i="33"/>
  <c r="M99" i="33" s="1"/>
  <c r="G99" i="33"/>
  <c r="I99" i="33" s="1"/>
  <c r="L99" i="33" s="1"/>
  <c r="B100" i="33"/>
  <c r="F99" i="33"/>
  <c r="H99" i="33" s="1"/>
  <c r="G97" i="32"/>
  <c r="I97" i="32" s="1"/>
  <c r="L97" i="32" s="1"/>
  <c r="B98" i="32"/>
  <c r="F97" i="32"/>
  <c r="H97" i="32" s="1"/>
  <c r="C97" i="32"/>
  <c r="M97" i="32" s="1"/>
  <c r="P96" i="32"/>
  <c r="J96" i="32"/>
  <c r="K96" i="32"/>
  <c r="O96" i="32" s="1"/>
  <c r="N95" i="31"/>
  <c r="Q95" i="31"/>
  <c r="E84" i="34" s="1"/>
  <c r="B98" i="31"/>
  <c r="G97" i="31"/>
  <c r="I97" i="31" s="1"/>
  <c r="L97" i="31" s="1"/>
  <c r="F97" i="31"/>
  <c r="H97" i="31" s="1"/>
  <c r="C97" i="31"/>
  <c r="M97" i="31" s="1"/>
  <c r="J96" i="31"/>
  <c r="K96" i="31"/>
  <c r="O96" i="31" s="1"/>
  <c r="P96" i="31"/>
  <c r="J96" i="30"/>
  <c r="K96" i="30"/>
  <c r="O96" i="30" s="1"/>
  <c r="G97" i="30"/>
  <c r="I97" i="30" s="1"/>
  <c r="L97" i="30" s="1"/>
  <c r="F97" i="30"/>
  <c r="H97" i="30" s="1"/>
  <c r="C97" i="30"/>
  <c r="M97" i="30" s="1"/>
  <c r="B98" i="30"/>
  <c r="P96" i="30"/>
  <c r="Q95" i="30"/>
  <c r="D84" i="34" s="1"/>
  <c r="N95" i="30"/>
  <c r="P96" i="29"/>
  <c r="J96" i="29"/>
  <c r="K96" i="29"/>
  <c r="O96" i="29" s="1"/>
  <c r="G97" i="29"/>
  <c r="I97" i="29" s="1"/>
  <c r="L97" i="29" s="1"/>
  <c r="F97" i="29"/>
  <c r="H97" i="29" s="1"/>
  <c r="B98" i="29"/>
  <c r="C97" i="29"/>
  <c r="M97" i="29" s="1"/>
  <c r="Q96" i="24"/>
  <c r="C85" i="34" s="1"/>
  <c r="P97" i="24"/>
  <c r="F98" i="24"/>
  <c r="H98" i="24" s="1"/>
  <c r="K98" i="24" s="1"/>
  <c r="B99" i="24"/>
  <c r="G99" i="24" s="1"/>
  <c r="I98" i="24"/>
  <c r="L98" i="24" s="1"/>
  <c r="C98" i="24"/>
  <c r="M98" i="24" s="1"/>
  <c r="J97" i="24"/>
  <c r="O97" i="24"/>
  <c r="N96" i="24"/>
  <c r="N96" i="31" l="1"/>
  <c r="G100" i="33"/>
  <c r="I100" i="33" s="1"/>
  <c r="L100" i="33" s="1"/>
  <c r="B101" i="33"/>
  <c r="F100" i="33"/>
  <c r="H100" i="33" s="1"/>
  <c r="C100" i="33"/>
  <c r="M100" i="33" s="1"/>
  <c r="J99" i="33"/>
  <c r="K99" i="33"/>
  <c r="O99" i="33" s="1"/>
  <c r="P99" i="33"/>
  <c r="N98" i="33"/>
  <c r="Q98" i="33"/>
  <c r="P97" i="32"/>
  <c r="N96" i="32"/>
  <c r="C98" i="32"/>
  <c r="M98" i="32" s="1"/>
  <c r="B99" i="32"/>
  <c r="G98" i="32"/>
  <c r="I98" i="32" s="1"/>
  <c r="L98" i="32" s="1"/>
  <c r="F98" i="32"/>
  <c r="H98" i="32" s="1"/>
  <c r="Q96" i="32"/>
  <c r="J97" i="32"/>
  <c r="K97" i="32"/>
  <c r="O97" i="32" s="1"/>
  <c r="Q96" i="31"/>
  <c r="E85" i="34" s="1"/>
  <c r="N96" i="30"/>
  <c r="Q96" i="30"/>
  <c r="D85" i="34" s="1"/>
  <c r="P97" i="31"/>
  <c r="J97" i="31"/>
  <c r="K97" i="31"/>
  <c r="O97" i="31" s="1"/>
  <c r="G98" i="31"/>
  <c r="I98" i="31" s="1"/>
  <c r="L98" i="31" s="1"/>
  <c r="F98" i="31"/>
  <c r="H98" i="31" s="1"/>
  <c r="C98" i="31"/>
  <c r="M98" i="31" s="1"/>
  <c r="B99" i="31"/>
  <c r="G98" i="30"/>
  <c r="I98" i="30" s="1"/>
  <c r="L98" i="30" s="1"/>
  <c r="B99" i="30"/>
  <c r="F98" i="30"/>
  <c r="H98" i="30" s="1"/>
  <c r="C98" i="30"/>
  <c r="M98" i="30" s="1"/>
  <c r="P97" i="30"/>
  <c r="J97" i="30"/>
  <c r="K97" i="30"/>
  <c r="O97" i="30" s="1"/>
  <c r="Q96" i="29"/>
  <c r="B85" i="34" s="1"/>
  <c r="P97" i="29"/>
  <c r="B99" i="29"/>
  <c r="F98" i="29"/>
  <c r="H98" i="29" s="1"/>
  <c r="C98" i="29"/>
  <c r="M98" i="29" s="1"/>
  <c r="G98" i="29"/>
  <c r="I98" i="29" s="1"/>
  <c r="L98" i="29" s="1"/>
  <c r="J97" i="29"/>
  <c r="K97" i="29"/>
  <c r="O97" i="29" s="1"/>
  <c r="N96" i="29"/>
  <c r="F99" i="24"/>
  <c r="H99" i="24" s="1"/>
  <c r="K99" i="24" s="1"/>
  <c r="B100" i="24"/>
  <c r="G100" i="24" s="1"/>
  <c r="I99" i="24"/>
  <c r="L99" i="24" s="1"/>
  <c r="C99" i="24"/>
  <c r="M99" i="24" s="1"/>
  <c r="J98" i="24"/>
  <c r="O98" i="24"/>
  <c r="Q97" i="24"/>
  <c r="C86" i="34" s="1"/>
  <c r="N98" i="24"/>
  <c r="P98" i="24"/>
  <c r="N97" i="24"/>
  <c r="N99" i="33" l="1"/>
  <c r="Q99" i="33"/>
  <c r="J100" i="33"/>
  <c r="K100" i="33"/>
  <c r="O100" i="33" s="1"/>
  <c r="P100" i="33"/>
  <c r="N100" i="33"/>
  <c r="G101" i="33"/>
  <c r="I101" i="33" s="1"/>
  <c r="L101" i="33" s="1"/>
  <c r="B102" i="33"/>
  <c r="F101" i="33"/>
  <c r="H101" i="33" s="1"/>
  <c r="C101" i="33"/>
  <c r="M101" i="33" s="1"/>
  <c r="J98" i="32"/>
  <c r="K98" i="32"/>
  <c r="O98" i="32" s="1"/>
  <c r="F99" i="32"/>
  <c r="H99" i="32" s="1"/>
  <c r="C99" i="32"/>
  <c r="M99" i="32" s="1"/>
  <c r="B100" i="32"/>
  <c r="G99" i="32"/>
  <c r="I99" i="32" s="1"/>
  <c r="L99" i="32" s="1"/>
  <c r="N97" i="32"/>
  <c r="P98" i="32"/>
  <c r="Q97" i="32"/>
  <c r="P98" i="31"/>
  <c r="J98" i="31"/>
  <c r="K98" i="31"/>
  <c r="O98" i="31" s="1"/>
  <c r="Q97" i="31"/>
  <c r="E86" i="34" s="1"/>
  <c r="C99" i="31"/>
  <c r="M99" i="31" s="1"/>
  <c r="B100" i="31"/>
  <c r="G99" i="31"/>
  <c r="I99" i="31" s="1"/>
  <c r="L99" i="31" s="1"/>
  <c r="F99" i="31"/>
  <c r="H99" i="31" s="1"/>
  <c r="N97" i="31"/>
  <c r="N97" i="30"/>
  <c r="Q97" i="30"/>
  <c r="D86" i="34" s="1"/>
  <c r="P98" i="30"/>
  <c r="J98" i="30"/>
  <c r="K98" i="30"/>
  <c r="O98" i="30" s="1"/>
  <c r="C99" i="30"/>
  <c r="M99" i="30" s="1"/>
  <c r="G99" i="30"/>
  <c r="I99" i="30" s="1"/>
  <c r="L99" i="30" s="1"/>
  <c r="B100" i="30"/>
  <c r="F99" i="30"/>
  <c r="H99" i="30" s="1"/>
  <c r="N97" i="29"/>
  <c r="J98" i="29"/>
  <c r="K98" i="29"/>
  <c r="O98" i="29" s="1"/>
  <c r="C99" i="29"/>
  <c r="M99" i="29" s="1"/>
  <c r="B100" i="29"/>
  <c r="G99" i="29"/>
  <c r="I99" i="29" s="1"/>
  <c r="L99" i="29" s="1"/>
  <c r="F99" i="29"/>
  <c r="H99" i="29" s="1"/>
  <c r="P98" i="29"/>
  <c r="Q98" i="29" s="1"/>
  <c r="B87" i="34" s="1"/>
  <c r="N98" i="29"/>
  <c r="Q97" i="29"/>
  <c r="B86" i="34" s="1"/>
  <c r="P99" i="24"/>
  <c r="F100" i="24"/>
  <c r="H100" i="24" s="1"/>
  <c r="K100" i="24" s="1"/>
  <c r="B101" i="24"/>
  <c r="G101" i="24" s="1"/>
  <c r="I100" i="24"/>
  <c r="L100" i="24" s="1"/>
  <c r="C100" i="24"/>
  <c r="M100" i="24" s="1"/>
  <c r="Q98" i="24"/>
  <c r="C87" i="34" s="1"/>
  <c r="J99" i="24"/>
  <c r="O99" i="24"/>
  <c r="Q100" i="33" l="1"/>
  <c r="K101" i="33"/>
  <c r="O101" i="33" s="1"/>
  <c r="J101" i="33"/>
  <c r="P101" i="33"/>
  <c r="C102" i="33"/>
  <c r="M102" i="33" s="1"/>
  <c r="B103" i="33"/>
  <c r="G102" i="33"/>
  <c r="I102" i="33" s="1"/>
  <c r="L102" i="33" s="1"/>
  <c r="F102" i="33"/>
  <c r="H102" i="33" s="1"/>
  <c r="N98" i="32"/>
  <c r="Q98" i="32"/>
  <c r="G100" i="32"/>
  <c r="I100" i="32" s="1"/>
  <c r="L100" i="32" s="1"/>
  <c r="C100" i="32"/>
  <c r="M100" i="32" s="1"/>
  <c r="B101" i="32"/>
  <c r="F100" i="32"/>
  <c r="H100" i="32" s="1"/>
  <c r="P99" i="32"/>
  <c r="J99" i="32"/>
  <c r="K99" i="32"/>
  <c r="O99" i="32" s="1"/>
  <c r="K99" i="31"/>
  <c r="O99" i="31" s="1"/>
  <c r="J99" i="31"/>
  <c r="P99" i="31"/>
  <c r="Q98" i="31"/>
  <c r="E87" i="34" s="1"/>
  <c r="B101" i="31"/>
  <c r="C100" i="31"/>
  <c r="M100" i="31" s="1"/>
  <c r="F100" i="31"/>
  <c r="H100" i="31" s="1"/>
  <c r="G100" i="31"/>
  <c r="I100" i="31" s="1"/>
  <c r="L100" i="31" s="1"/>
  <c r="N98" i="31"/>
  <c r="J99" i="30"/>
  <c r="K99" i="30"/>
  <c r="O99" i="30" s="1"/>
  <c r="C100" i="30"/>
  <c r="M100" i="30" s="1"/>
  <c r="B101" i="30"/>
  <c r="G100" i="30"/>
  <c r="I100" i="30" s="1"/>
  <c r="L100" i="30" s="1"/>
  <c r="F100" i="30"/>
  <c r="H100" i="30" s="1"/>
  <c r="P99" i="30"/>
  <c r="N98" i="30"/>
  <c r="Q98" i="30"/>
  <c r="D87" i="34" s="1"/>
  <c r="J99" i="29"/>
  <c r="K99" i="29"/>
  <c r="O99" i="29" s="1"/>
  <c r="G100" i="29"/>
  <c r="I100" i="29" s="1"/>
  <c r="L100" i="29" s="1"/>
  <c r="F100" i="29"/>
  <c r="H100" i="29" s="1"/>
  <c r="C100" i="29"/>
  <c r="M100" i="29" s="1"/>
  <c r="B101" i="29"/>
  <c r="P99" i="29"/>
  <c r="Q99" i="24"/>
  <c r="C88" i="34" s="1"/>
  <c r="P100" i="24"/>
  <c r="F101" i="24"/>
  <c r="H101" i="24" s="1"/>
  <c r="K101" i="24" s="1"/>
  <c r="B102" i="24"/>
  <c r="G102" i="24" s="1"/>
  <c r="I101" i="24"/>
  <c r="L101" i="24" s="1"/>
  <c r="C101" i="24"/>
  <c r="M101" i="24" s="1"/>
  <c r="J100" i="24"/>
  <c r="O100" i="24"/>
  <c r="N99" i="24"/>
  <c r="N101" i="33" l="1"/>
  <c r="Q101" i="33"/>
  <c r="J102" i="33"/>
  <c r="K102" i="33"/>
  <c r="O102" i="33" s="1"/>
  <c r="P102" i="33"/>
  <c r="G103" i="33"/>
  <c r="I103" i="33" s="1"/>
  <c r="L103" i="33" s="1"/>
  <c r="B104" i="33"/>
  <c r="F103" i="33"/>
  <c r="H103" i="33" s="1"/>
  <c r="C103" i="33"/>
  <c r="M103" i="33" s="1"/>
  <c r="N99" i="32"/>
  <c r="Q99" i="32"/>
  <c r="C101" i="32"/>
  <c r="M101" i="32" s="1"/>
  <c r="B102" i="32"/>
  <c r="G101" i="32"/>
  <c r="I101" i="32" s="1"/>
  <c r="L101" i="32" s="1"/>
  <c r="F101" i="32"/>
  <c r="H101" i="32" s="1"/>
  <c r="P100" i="32"/>
  <c r="J100" i="32"/>
  <c r="K100" i="32"/>
  <c r="O100" i="32" s="1"/>
  <c r="Q99" i="31"/>
  <c r="E88" i="34" s="1"/>
  <c r="N99" i="31"/>
  <c r="N99" i="30"/>
  <c r="Q99" i="30"/>
  <c r="D88" i="34" s="1"/>
  <c r="J100" i="31"/>
  <c r="K100" i="31"/>
  <c r="O100" i="31" s="1"/>
  <c r="G101" i="31"/>
  <c r="I101" i="31" s="1"/>
  <c r="L101" i="31" s="1"/>
  <c r="F101" i="31"/>
  <c r="H101" i="31" s="1"/>
  <c r="C101" i="31"/>
  <c r="M101" i="31" s="1"/>
  <c r="B102" i="31"/>
  <c r="P100" i="31"/>
  <c r="J100" i="30"/>
  <c r="K100" i="30"/>
  <c r="O100" i="30" s="1"/>
  <c r="G101" i="30"/>
  <c r="I101" i="30" s="1"/>
  <c r="L101" i="30" s="1"/>
  <c r="B102" i="30"/>
  <c r="F101" i="30"/>
  <c r="H101" i="30" s="1"/>
  <c r="C101" i="30"/>
  <c r="M101" i="30" s="1"/>
  <c r="P100" i="30"/>
  <c r="N99" i="29"/>
  <c r="Q99" i="29"/>
  <c r="B88" i="34" s="1"/>
  <c r="P100" i="29"/>
  <c r="B102" i="29"/>
  <c r="F101" i="29"/>
  <c r="H101" i="29" s="1"/>
  <c r="C101" i="29"/>
  <c r="M101" i="29" s="1"/>
  <c r="G101" i="29"/>
  <c r="I101" i="29" s="1"/>
  <c r="L101" i="29" s="1"/>
  <c r="J100" i="29"/>
  <c r="K100" i="29"/>
  <c r="O100" i="29" s="1"/>
  <c r="F102" i="24"/>
  <c r="H102" i="24" s="1"/>
  <c r="K102" i="24" s="1"/>
  <c r="B103" i="24"/>
  <c r="G103" i="24" s="1"/>
  <c r="I102" i="24"/>
  <c r="L102" i="24" s="1"/>
  <c r="C102" i="24"/>
  <c r="M102" i="24" s="1"/>
  <c r="P101" i="24"/>
  <c r="J101" i="24"/>
  <c r="O101" i="24"/>
  <c r="Q100" i="24"/>
  <c r="C89" i="34" s="1"/>
  <c r="N100" i="24"/>
  <c r="N100" i="31" l="1"/>
  <c r="Q102" i="33"/>
  <c r="N102" i="33"/>
  <c r="J103" i="33"/>
  <c r="K103" i="33"/>
  <c r="O103" i="33" s="1"/>
  <c r="G104" i="33"/>
  <c r="I104" i="33" s="1"/>
  <c r="L104" i="33" s="1"/>
  <c r="B105" i="33"/>
  <c r="F104" i="33"/>
  <c r="H104" i="33" s="1"/>
  <c r="C104" i="33"/>
  <c r="M104" i="33" s="1"/>
  <c r="P103" i="33"/>
  <c r="Q103" i="33" s="1"/>
  <c r="N103" i="33"/>
  <c r="Q100" i="32"/>
  <c r="N100" i="32"/>
  <c r="F102" i="32"/>
  <c r="H102" i="32" s="1"/>
  <c r="C102" i="32"/>
  <c r="M102" i="32" s="1"/>
  <c r="B103" i="32"/>
  <c r="G102" i="32"/>
  <c r="I102" i="32" s="1"/>
  <c r="L102" i="32" s="1"/>
  <c r="J101" i="32"/>
  <c r="K101" i="32"/>
  <c r="O101" i="32" s="1"/>
  <c r="P101" i="32"/>
  <c r="Q100" i="31"/>
  <c r="E89" i="34" s="1"/>
  <c r="N100" i="30"/>
  <c r="Q100" i="30"/>
  <c r="D89" i="34" s="1"/>
  <c r="P101" i="31"/>
  <c r="C102" i="31"/>
  <c r="M102" i="31" s="1"/>
  <c r="B103" i="31"/>
  <c r="F102" i="31"/>
  <c r="H102" i="31" s="1"/>
  <c r="G102" i="31"/>
  <c r="I102" i="31" s="1"/>
  <c r="L102" i="31" s="1"/>
  <c r="J101" i="31"/>
  <c r="K101" i="31"/>
  <c r="O101" i="31" s="1"/>
  <c r="P101" i="30"/>
  <c r="K101" i="30"/>
  <c r="O101" i="30" s="1"/>
  <c r="J101" i="30"/>
  <c r="C102" i="30"/>
  <c r="M102" i="30" s="1"/>
  <c r="B103" i="30"/>
  <c r="G102" i="30"/>
  <c r="I102" i="30" s="1"/>
  <c r="L102" i="30" s="1"/>
  <c r="F102" i="30"/>
  <c r="H102" i="30" s="1"/>
  <c r="Q100" i="29"/>
  <c r="B89" i="34" s="1"/>
  <c r="P101" i="29"/>
  <c r="F102" i="29"/>
  <c r="H102" i="29" s="1"/>
  <c r="G102" i="29"/>
  <c r="I102" i="29" s="1"/>
  <c r="L102" i="29" s="1"/>
  <c r="C102" i="29"/>
  <c r="M102" i="29" s="1"/>
  <c r="B103" i="29"/>
  <c r="J101" i="29"/>
  <c r="K101" i="29"/>
  <c r="O101" i="29" s="1"/>
  <c r="N100" i="29"/>
  <c r="P102" i="24"/>
  <c r="Q101" i="24"/>
  <c r="C90" i="34" s="1"/>
  <c r="F103" i="24"/>
  <c r="H103" i="24" s="1"/>
  <c r="K103" i="24" s="1"/>
  <c r="B104" i="24"/>
  <c r="G104" i="24" s="1"/>
  <c r="I103" i="24"/>
  <c r="L103" i="24" s="1"/>
  <c r="C103" i="24"/>
  <c r="M103" i="24" s="1"/>
  <c r="N101" i="24"/>
  <c r="J102" i="24"/>
  <c r="O102" i="24"/>
  <c r="C105" i="33" l="1"/>
  <c r="M105" i="33" s="1"/>
  <c r="G105" i="33"/>
  <c r="I105" i="33" s="1"/>
  <c r="L105" i="33" s="1"/>
  <c r="F105" i="33"/>
  <c r="H105" i="33" s="1"/>
  <c r="B106" i="33"/>
  <c r="J104" i="33"/>
  <c r="K104" i="33"/>
  <c r="O104" i="33" s="1"/>
  <c r="P104" i="33"/>
  <c r="N101" i="32"/>
  <c r="Q101" i="32"/>
  <c r="P102" i="32"/>
  <c r="G103" i="32"/>
  <c r="I103" i="32" s="1"/>
  <c r="L103" i="32" s="1"/>
  <c r="C103" i="32"/>
  <c r="M103" i="32" s="1"/>
  <c r="B104" i="32"/>
  <c r="F103" i="32"/>
  <c r="H103" i="32" s="1"/>
  <c r="J102" i="32"/>
  <c r="K102" i="32"/>
  <c r="O102" i="32" s="1"/>
  <c r="J102" i="31"/>
  <c r="K102" i="31"/>
  <c r="O102" i="31" s="1"/>
  <c r="B104" i="31"/>
  <c r="C103" i="31"/>
  <c r="M103" i="31" s="1"/>
  <c r="F103" i="31"/>
  <c r="H103" i="31" s="1"/>
  <c r="G103" i="31"/>
  <c r="I103" i="31" s="1"/>
  <c r="L103" i="31" s="1"/>
  <c r="N101" i="31"/>
  <c r="N102" i="31"/>
  <c r="P102" i="31"/>
  <c r="Q101" i="31"/>
  <c r="E90" i="34" s="1"/>
  <c r="J102" i="30"/>
  <c r="K102" i="30"/>
  <c r="O102" i="30" s="1"/>
  <c r="C103" i="30"/>
  <c r="M103" i="30" s="1"/>
  <c r="F103" i="30"/>
  <c r="H103" i="30" s="1"/>
  <c r="G103" i="30"/>
  <c r="I103" i="30" s="1"/>
  <c r="L103" i="30" s="1"/>
  <c r="B104" i="30"/>
  <c r="P102" i="30"/>
  <c r="N101" i="30"/>
  <c r="Q101" i="30"/>
  <c r="D90" i="34" s="1"/>
  <c r="N101" i="29"/>
  <c r="G103" i="29"/>
  <c r="I103" i="29" s="1"/>
  <c r="L103" i="29" s="1"/>
  <c r="B104" i="29"/>
  <c r="F103" i="29"/>
  <c r="H103" i="29" s="1"/>
  <c r="C103" i="29"/>
  <c r="M103" i="29" s="1"/>
  <c r="J102" i="29"/>
  <c r="K102" i="29"/>
  <c r="O102" i="29" s="1"/>
  <c r="P102" i="29"/>
  <c r="N102" i="29"/>
  <c r="Q101" i="29"/>
  <c r="B90" i="34" s="1"/>
  <c r="P103" i="24"/>
  <c r="F104" i="24"/>
  <c r="H104" i="24" s="1"/>
  <c r="K104" i="24" s="1"/>
  <c r="B105" i="24"/>
  <c r="G105" i="24" s="1"/>
  <c r="I104" i="24"/>
  <c r="L104" i="24" s="1"/>
  <c r="C104" i="24"/>
  <c r="M104" i="24" s="1"/>
  <c r="J103" i="24"/>
  <c r="O103" i="24"/>
  <c r="Q102" i="24"/>
  <c r="C91" i="34" s="1"/>
  <c r="N102" i="24"/>
  <c r="N104" i="33" l="1"/>
  <c r="Q104" i="33"/>
  <c r="G106" i="33"/>
  <c r="I106" i="33" s="1"/>
  <c r="L106" i="33" s="1"/>
  <c r="B107" i="33"/>
  <c r="F106" i="33"/>
  <c r="H106" i="33" s="1"/>
  <c r="C106" i="33"/>
  <c r="M106" i="33" s="1"/>
  <c r="J105" i="33"/>
  <c r="K105" i="33"/>
  <c r="O105" i="33" s="1"/>
  <c r="P105" i="33"/>
  <c r="J103" i="32"/>
  <c r="K103" i="32"/>
  <c r="O103" i="32" s="1"/>
  <c r="C104" i="32"/>
  <c r="M104" i="32" s="1"/>
  <c r="B105" i="32"/>
  <c r="G104" i="32"/>
  <c r="I104" i="32" s="1"/>
  <c r="L104" i="32" s="1"/>
  <c r="F104" i="32"/>
  <c r="H104" i="32" s="1"/>
  <c r="P103" i="32"/>
  <c r="N102" i="32"/>
  <c r="Q102" i="32"/>
  <c r="N102" i="30"/>
  <c r="Q102" i="30"/>
  <c r="D91" i="34" s="1"/>
  <c r="Q102" i="31"/>
  <c r="E91" i="34" s="1"/>
  <c r="J103" i="31"/>
  <c r="K103" i="31"/>
  <c r="O103" i="31" s="1"/>
  <c r="G104" i="31"/>
  <c r="I104" i="31" s="1"/>
  <c r="L104" i="31" s="1"/>
  <c r="F104" i="31"/>
  <c r="H104" i="31" s="1"/>
  <c r="C104" i="31"/>
  <c r="M104" i="31" s="1"/>
  <c r="B105" i="31"/>
  <c r="P103" i="31"/>
  <c r="G104" i="30"/>
  <c r="I104" i="30" s="1"/>
  <c r="L104" i="30" s="1"/>
  <c r="B105" i="30"/>
  <c r="F104" i="30"/>
  <c r="H104" i="30" s="1"/>
  <c r="C104" i="30"/>
  <c r="M104" i="30" s="1"/>
  <c r="J103" i="30"/>
  <c r="K103" i="30"/>
  <c r="O103" i="30" s="1"/>
  <c r="P103" i="30"/>
  <c r="Q102" i="29"/>
  <c r="B91" i="34" s="1"/>
  <c r="P103" i="29"/>
  <c r="J103" i="29"/>
  <c r="K103" i="29"/>
  <c r="O103" i="29" s="1"/>
  <c r="B105" i="29"/>
  <c r="F104" i="29"/>
  <c r="H104" i="29" s="1"/>
  <c r="C104" i="29"/>
  <c r="M104" i="29" s="1"/>
  <c r="G104" i="29"/>
  <c r="I104" i="29" s="1"/>
  <c r="L104" i="29" s="1"/>
  <c r="F105" i="24"/>
  <c r="H105" i="24" s="1"/>
  <c r="K105" i="24" s="1"/>
  <c r="B106" i="24"/>
  <c r="G106" i="24" s="1"/>
  <c r="I105" i="24"/>
  <c r="L105" i="24" s="1"/>
  <c r="C105" i="24"/>
  <c r="M105" i="24" s="1"/>
  <c r="J104" i="24"/>
  <c r="O104" i="24"/>
  <c r="N104" i="24"/>
  <c r="P104" i="24"/>
  <c r="Q103" i="24"/>
  <c r="C92" i="34" s="1"/>
  <c r="N103" i="24"/>
  <c r="Q103" i="31" l="1"/>
  <c r="E92" i="34" s="1"/>
  <c r="N103" i="31"/>
  <c r="Q105" i="33"/>
  <c r="N105" i="33"/>
  <c r="J106" i="33"/>
  <c r="K106" i="33"/>
  <c r="O106" i="33" s="1"/>
  <c r="G107" i="33"/>
  <c r="I107" i="33" s="1"/>
  <c r="L107" i="33" s="1"/>
  <c r="B108" i="33"/>
  <c r="F107" i="33"/>
  <c r="H107" i="33" s="1"/>
  <c r="C107" i="33"/>
  <c r="M107" i="33" s="1"/>
  <c r="P106" i="33"/>
  <c r="Q106" i="33" s="1"/>
  <c r="N106" i="33"/>
  <c r="Q103" i="32"/>
  <c r="N103" i="32"/>
  <c r="F105" i="32"/>
  <c r="H105" i="32" s="1"/>
  <c r="C105" i="32"/>
  <c r="M105" i="32" s="1"/>
  <c r="G105" i="32"/>
  <c r="I105" i="32" s="1"/>
  <c r="L105" i="32" s="1"/>
  <c r="B106" i="32"/>
  <c r="P104" i="32"/>
  <c r="J104" i="32"/>
  <c r="K104" i="32"/>
  <c r="O104" i="32" s="1"/>
  <c r="N103" i="30"/>
  <c r="Q103" i="30"/>
  <c r="D92" i="34" s="1"/>
  <c r="P104" i="31"/>
  <c r="C105" i="31"/>
  <c r="M105" i="31" s="1"/>
  <c r="B106" i="31"/>
  <c r="F105" i="31"/>
  <c r="H105" i="31" s="1"/>
  <c r="G105" i="31"/>
  <c r="I105" i="31" s="1"/>
  <c r="L105" i="31" s="1"/>
  <c r="J104" i="31"/>
  <c r="K104" i="31"/>
  <c r="O104" i="31" s="1"/>
  <c r="P104" i="30"/>
  <c r="K104" i="30"/>
  <c r="O104" i="30" s="1"/>
  <c r="J104" i="30"/>
  <c r="C105" i="30"/>
  <c r="M105" i="30" s="1"/>
  <c r="G105" i="30"/>
  <c r="I105" i="30" s="1"/>
  <c r="L105" i="30" s="1"/>
  <c r="F105" i="30"/>
  <c r="H105" i="30" s="1"/>
  <c r="B106" i="30"/>
  <c r="Q103" i="29"/>
  <c r="B92" i="34" s="1"/>
  <c r="G105" i="29"/>
  <c r="I105" i="29" s="1"/>
  <c r="L105" i="29" s="1"/>
  <c r="B106" i="29"/>
  <c r="F105" i="29"/>
  <c r="H105" i="29" s="1"/>
  <c r="C105" i="29"/>
  <c r="M105" i="29" s="1"/>
  <c r="P104" i="29"/>
  <c r="J104" i="29"/>
  <c r="K104" i="29"/>
  <c r="O104" i="29" s="1"/>
  <c r="N103" i="29"/>
  <c r="Q104" i="24"/>
  <c r="C93" i="34" s="1"/>
  <c r="P105" i="24"/>
  <c r="F106" i="24"/>
  <c r="H106" i="24" s="1"/>
  <c r="K106" i="24" s="1"/>
  <c r="B107" i="24"/>
  <c r="G107" i="24" s="1"/>
  <c r="I106" i="24"/>
  <c r="L106" i="24" s="1"/>
  <c r="C106" i="24"/>
  <c r="M106" i="24" s="1"/>
  <c r="J105" i="24"/>
  <c r="O105" i="24"/>
  <c r="J107" i="33" l="1"/>
  <c r="K107" i="33"/>
  <c r="O107" i="33" s="1"/>
  <c r="P107" i="33"/>
  <c r="C108" i="33"/>
  <c r="M108" i="33" s="1"/>
  <c r="B109" i="33"/>
  <c r="G108" i="33"/>
  <c r="I108" i="33" s="1"/>
  <c r="L108" i="33" s="1"/>
  <c r="F108" i="33"/>
  <c r="H108" i="33" s="1"/>
  <c r="N104" i="32"/>
  <c r="G106" i="32"/>
  <c r="I106" i="32" s="1"/>
  <c r="L106" i="32" s="1"/>
  <c r="C106" i="32"/>
  <c r="M106" i="32" s="1"/>
  <c r="B107" i="32"/>
  <c r="F106" i="32"/>
  <c r="H106" i="32" s="1"/>
  <c r="P105" i="32"/>
  <c r="Q104" i="32"/>
  <c r="J105" i="32"/>
  <c r="K105" i="32"/>
  <c r="O105" i="32" s="1"/>
  <c r="J105" i="31"/>
  <c r="K105" i="31"/>
  <c r="O105" i="31" s="1"/>
  <c r="G106" i="31"/>
  <c r="I106" i="31" s="1"/>
  <c r="L106" i="31" s="1"/>
  <c r="B107" i="31"/>
  <c r="F106" i="31"/>
  <c r="H106" i="31" s="1"/>
  <c r="C106" i="31"/>
  <c r="M106" i="31" s="1"/>
  <c r="N104" i="31"/>
  <c r="N105" i="31"/>
  <c r="P105" i="31"/>
  <c r="Q104" i="31"/>
  <c r="E93" i="34" s="1"/>
  <c r="G106" i="30"/>
  <c r="I106" i="30" s="1"/>
  <c r="L106" i="30" s="1"/>
  <c r="C106" i="30"/>
  <c r="M106" i="30" s="1"/>
  <c r="F106" i="30"/>
  <c r="H106" i="30" s="1"/>
  <c r="B107" i="30"/>
  <c r="J105" i="30"/>
  <c r="K105" i="30"/>
  <c r="O105" i="30" s="1"/>
  <c r="P105" i="30"/>
  <c r="N104" i="30"/>
  <c r="Q104" i="30"/>
  <c r="D93" i="34" s="1"/>
  <c r="N104" i="29"/>
  <c r="J105" i="29"/>
  <c r="K105" i="29"/>
  <c r="O105" i="29" s="1"/>
  <c r="P105" i="29"/>
  <c r="G106" i="29"/>
  <c r="I106" i="29" s="1"/>
  <c r="L106" i="29" s="1"/>
  <c r="F106" i="29"/>
  <c r="H106" i="29" s="1"/>
  <c r="C106" i="29"/>
  <c r="M106" i="29" s="1"/>
  <c r="B107" i="29"/>
  <c r="Q104" i="29"/>
  <c r="B93" i="34" s="1"/>
  <c r="F107" i="24"/>
  <c r="H107" i="24" s="1"/>
  <c r="K107" i="24" s="1"/>
  <c r="B108" i="24"/>
  <c r="G108" i="24" s="1"/>
  <c r="I107" i="24"/>
  <c r="L107" i="24" s="1"/>
  <c r="C107" i="24"/>
  <c r="M107" i="24" s="1"/>
  <c r="J106" i="24"/>
  <c r="O106" i="24"/>
  <c r="N106" i="24"/>
  <c r="P106" i="24"/>
  <c r="Q105" i="24"/>
  <c r="C94" i="34" s="1"/>
  <c r="N105" i="24"/>
  <c r="Q105" i="31" l="1"/>
  <c r="E94" i="34" s="1"/>
  <c r="Q107" i="33"/>
  <c r="N107" i="33"/>
  <c r="J108" i="33"/>
  <c r="K108" i="33"/>
  <c r="O108" i="33" s="1"/>
  <c r="P108" i="33"/>
  <c r="G109" i="33"/>
  <c r="I109" i="33" s="1"/>
  <c r="L109" i="33" s="1"/>
  <c r="B110" i="33"/>
  <c r="F109" i="33"/>
  <c r="H109" i="33" s="1"/>
  <c r="C109" i="33"/>
  <c r="M109" i="33" s="1"/>
  <c r="Q105" i="32"/>
  <c r="N105" i="32"/>
  <c r="P106" i="32"/>
  <c r="K106" i="32"/>
  <c r="O106" i="32" s="1"/>
  <c r="J106" i="32"/>
  <c r="C107" i="32"/>
  <c r="M107" i="32" s="1"/>
  <c r="B108" i="32"/>
  <c r="G107" i="32"/>
  <c r="I107" i="32" s="1"/>
  <c r="L107" i="32" s="1"/>
  <c r="F107" i="32"/>
  <c r="H107" i="32" s="1"/>
  <c r="N105" i="30"/>
  <c r="Q105" i="30"/>
  <c r="D94" i="34" s="1"/>
  <c r="P106" i="31"/>
  <c r="G107" i="31"/>
  <c r="I107" i="31" s="1"/>
  <c r="L107" i="31" s="1"/>
  <c r="F107" i="31"/>
  <c r="H107" i="31" s="1"/>
  <c r="C107" i="31"/>
  <c r="M107" i="31" s="1"/>
  <c r="B108" i="31"/>
  <c r="J106" i="31"/>
  <c r="K106" i="31"/>
  <c r="O106" i="31" s="1"/>
  <c r="G107" i="30"/>
  <c r="I107" i="30" s="1"/>
  <c r="L107" i="30" s="1"/>
  <c r="B108" i="30"/>
  <c r="F107" i="30"/>
  <c r="H107" i="30" s="1"/>
  <c r="C107" i="30"/>
  <c r="M107" i="30" s="1"/>
  <c r="J106" i="30"/>
  <c r="K106" i="30"/>
  <c r="O106" i="30" s="1"/>
  <c r="P106" i="30"/>
  <c r="Q106" i="30" s="1"/>
  <c r="D95" i="34" s="1"/>
  <c r="J106" i="29"/>
  <c r="K106" i="29"/>
  <c r="O106" i="29" s="1"/>
  <c r="P106" i="29"/>
  <c r="Q106" i="29" s="1"/>
  <c r="B95" i="34" s="1"/>
  <c r="N105" i="29"/>
  <c r="Q105" i="29"/>
  <c r="B94" i="34" s="1"/>
  <c r="B108" i="29"/>
  <c r="F107" i="29"/>
  <c r="H107" i="29" s="1"/>
  <c r="C107" i="29"/>
  <c r="M107" i="29" s="1"/>
  <c r="G107" i="29"/>
  <c r="I107" i="29" s="1"/>
  <c r="L107" i="29" s="1"/>
  <c r="Q106" i="24"/>
  <c r="C95" i="34" s="1"/>
  <c r="P107" i="24"/>
  <c r="F108" i="24"/>
  <c r="H108" i="24" s="1"/>
  <c r="K108" i="24" s="1"/>
  <c r="B109" i="24"/>
  <c r="G109" i="24" s="1"/>
  <c r="I108" i="24"/>
  <c r="L108" i="24" s="1"/>
  <c r="C108" i="24"/>
  <c r="M108" i="24" s="1"/>
  <c r="J107" i="24"/>
  <c r="O107" i="24"/>
  <c r="N106" i="30" l="1"/>
  <c r="N108" i="33"/>
  <c r="Q108" i="33"/>
  <c r="J109" i="33"/>
  <c r="K109" i="33"/>
  <c r="O109" i="33" s="1"/>
  <c r="P109" i="33"/>
  <c r="G110" i="33"/>
  <c r="I110" i="33" s="1"/>
  <c r="L110" i="33" s="1"/>
  <c r="B111" i="33"/>
  <c r="F110" i="33"/>
  <c r="H110" i="33" s="1"/>
  <c r="C110" i="33"/>
  <c r="M110" i="33" s="1"/>
  <c r="P107" i="32"/>
  <c r="J107" i="32"/>
  <c r="K107" i="32"/>
  <c r="O107" i="32" s="1"/>
  <c r="F108" i="32"/>
  <c r="H108" i="32" s="1"/>
  <c r="C108" i="32"/>
  <c r="M108" i="32" s="1"/>
  <c r="G108" i="32"/>
  <c r="I108" i="32" s="1"/>
  <c r="L108" i="32" s="1"/>
  <c r="B109" i="32"/>
  <c r="Q106" i="32"/>
  <c r="N106" i="32"/>
  <c r="P107" i="31"/>
  <c r="Q106" i="31"/>
  <c r="E95" i="34" s="1"/>
  <c r="C108" i="31"/>
  <c r="M108" i="31" s="1"/>
  <c r="B109" i="31"/>
  <c r="G108" i="31"/>
  <c r="I108" i="31" s="1"/>
  <c r="L108" i="31" s="1"/>
  <c r="F108" i="31"/>
  <c r="H108" i="31" s="1"/>
  <c r="J107" i="31"/>
  <c r="K107" i="31"/>
  <c r="O107" i="31" s="1"/>
  <c r="N106" i="31"/>
  <c r="P107" i="30"/>
  <c r="J107" i="30"/>
  <c r="K107" i="30"/>
  <c r="O107" i="30" s="1"/>
  <c r="C108" i="30"/>
  <c r="M108" i="30" s="1"/>
  <c r="G108" i="30"/>
  <c r="I108" i="30" s="1"/>
  <c r="L108" i="30" s="1"/>
  <c r="F108" i="30"/>
  <c r="H108" i="30" s="1"/>
  <c r="B109" i="30"/>
  <c r="N106" i="29"/>
  <c r="P107" i="29"/>
  <c r="C108" i="29"/>
  <c r="M108" i="29" s="1"/>
  <c r="B109" i="29"/>
  <c r="G108" i="29"/>
  <c r="I108" i="29" s="1"/>
  <c r="L108" i="29" s="1"/>
  <c r="F108" i="29"/>
  <c r="H108" i="29" s="1"/>
  <c r="J107" i="29"/>
  <c r="K107" i="29"/>
  <c r="O107" i="29" s="1"/>
  <c r="P108" i="24"/>
  <c r="F109" i="24"/>
  <c r="H109" i="24" s="1"/>
  <c r="K109" i="24" s="1"/>
  <c r="B110" i="24"/>
  <c r="G110" i="24" s="1"/>
  <c r="I109" i="24"/>
  <c r="L109" i="24" s="1"/>
  <c r="C109" i="24"/>
  <c r="M109" i="24" s="1"/>
  <c r="J108" i="24"/>
  <c r="O108" i="24"/>
  <c r="Q107" i="24"/>
  <c r="C96" i="34" s="1"/>
  <c r="N107" i="24"/>
  <c r="N109" i="33" l="1"/>
  <c r="Q109" i="33"/>
  <c r="K110" i="33"/>
  <c r="O110" i="33" s="1"/>
  <c r="J110" i="33"/>
  <c r="P110" i="33"/>
  <c r="C111" i="33"/>
  <c r="M111" i="33" s="1"/>
  <c r="B112" i="33"/>
  <c r="G111" i="33"/>
  <c r="I111" i="33" s="1"/>
  <c r="L111" i="33" s="1"/>
  <c r="F111" i="33"/>
  <c r="H111" i="33" s="1"/>
  <c r="G109" i="32"/>
  <c r="I109" i="32" s="1"/>
  <c r="L109" i="32" s="1"/>
  <c r="B110" i="32"/>
  <c r="F109" i="32"/>
  <c r="H109" i="32" s="1"/>
  <c r="C109" i="32"/>
  <c r="M109" i="32" s="1"/>
  <c r="J108" i="32"/>
  <c r="K108" i="32"/>
  <c r="O108" i="32" s="1"/>
  <c r="N107" i="32"/>
  <c r="P108" i="32"/>
  <c r="Q107" i="32"/>
  <c r="P108" i="31"/>
  <c r="N107" i="31"/>
  <c r="J108" i="31"/>
  <c r="K108" i="31"/>
  <c r="O108" i="31" s="1"/>
  <c r="B110" i="31"/>
  <c r="F109" i="31"/>
  <c r="H109" i="31" s="1"/>
  <c r="G109" i="31"/>
  <c r="I109" i="31" s="1"/>
  <c r="L109" i="31" s="1"/>
  <c r="C109" i="31"/>
  <c r="M109" i="31" s="1"/>
  <c r="Q107" i="31"/>
  <c r="E96" i="34" s="1"/>
  <c r="F109" i="30"/>
  <c r="H109" i="30" s="1"/>
  <c r="B110" i="30"/>
  <c r="C109" i="30"/>
  <c r="M109" i="30" s="1"/>
  <c r="G109" i="30"/>
  <c r="I109" i="30" s="1"/>
  <c r="L109" i="30" s="1"/>
  <c r="J108" i="30"/>
  <c r="K108" i="30"/>
  <c r="O108" i="30" s="1"/>
  <c r="P108" i="30"/>
  <c r="N107" i="30"/>
  <c r="Q107" i="30"/>
  <c r="D96" i="34" s="1"/>
  <c r="P108" i="29"/>
  <c r="J108" i="29"/>
  <c r="K108" i="29"/>
  <c r="O108" i="29" s="1"/>
  <c r="G109" i="29"/>
  <c r="I109" i="29" s="1"/>
  <c r="L109" i="29" s="1"/>
  <c r="F109" i="29"/>
  <c r="H109" i="29" s="1"/>
  <c r="B110" i="29"/>
  <c r="C109" i="29"/>
  <c r="M109" i="29" s="1"/>
  <c r="N107" i="29"/>
  <c r="Q107" i="29"/>
  <c r="B96" i="34" s="1"/>
  <c r="F110" i="24"/>
  <c r="H110" i="24" s="1"/>
  <c r="K110" i="24" s="1"/>
  <c r="B111" i="24"/>
  <c r="G111" i="24" s="1"/>
  <c r="I110" i="24"/>
  <c r="L110" i="24" s="1"/>
  <c r="C110" i="24"/>
  <c r="M110" i="24" s="1"/>
  <c r="J109" i="24"/>
  <c r="O109" i="24"/>
  <c r="P109" i="24"/>
  <c r="Q108" i="24"/>
  <c r="C97" i="34" s="1"/>
  <c r="N108" i="24"/>
  <c r="N108" i="30" l="1"/>
  <c r="Q108" i="30"/>
  <c r="D97" i="34" s="1"/>
  <c r="N110" i="33"/>
  <c r="Q110" i="33"/>
  <c r="J111" i="33"/>
  <c r="K111" i="33"/>
  <c r="O111" i="33" s="1"/>
  <c r="G112" i="33"/>
  <c r="I112" i="33" s="1"/>
  <c r="L112" i="33" s="1"/>
  <c r="B113" i="33"/>
  <c r="F112" i="33"/>
  <c r="H112" i="33" s="1"/>
  <c r="C112" i="33"/>
  <c r="M112" i="33" s="1"/>
  <c r="P111" i="33"/>
  <c r="Q111" i="33" s="1"/>
  <c r="N111" i="33"/>
  <c r="N108" i="32"/>
  <c r="Q108" i="32"/>
  <c r="P109" i="32"/>
  <c r="J109" i="32"/>
  <c r="K109" i="32"/>
  <c r="O109" i="32" s="1"/>
  <c r="C110" i="32"/>
  <c r="M110" i="32" s="1"/>
  <c r="B111" i="32"/>
  <c r="G110" i="32"/>
  <c r="I110" i="32" s="1"/>
  <c r="L110" i="32" s="1"/>
  <c r="F110" i="32"/>
  <c r="H110" i="32" s="1"/>
  <c r="G110" i="31"/>
  <c r="I110" i="31" s="1"/>
  <c r="L110" i="31" s="1"/>
  <c r="B111" i="31"/>
  <c r="F110" i="31"/>
  <c r="H110" i="31" s="1"/>
  <c r="C110" i="31"/>
  <c r="M110" i="31" s="1"/>
  <c r="N108" i="31"/>
  <c r="P109" i="31"/>
  <c r="J109" i="31"/>
  <c r="K109" i="31"/>
  <c r="O109" i="31" s="1"/>
  <c r="Q108" i="31"/>
  <c r="E97" i="34" s="1"/>
  <c r="P109" i="30"/>
  <c r="G110" i="30"/>
  <c r="I110" i="30" s="1"/>
  <c r="L110" i="30" s="1"/>
  <c r="B111" i="30"/>
  <c r="F110" i="30"/>
  <c r="H110" i="30" s="1"/>
  <c r="C110" i="30"/>
  <c r="M110" i="30" s="1"/>
  <c r="J109" i="30"/>
  <c r="K109" i="30"/>
  <c r="O109" i="30" s="1"/>
  <c r="J109" i="29"/>
  <c r="K109" i="29"/>
  <c r="O109" i="29" s="1"/>
  <c r="N108" i="29"/>
  <c r="P109" i="29"/>
  <c r="N109" i="29"/>
  <c r="B111" i="29"/>
  <c r="F110" i="29"/>
  <c r="H110" i="29" s="1"/>
  <c r="C110" i="29"/>
  <c r="M110" i="29" s="1"/>
  <c r="G110" i="29"/>
  <c r="I110" i="29" s="1"/>
  <c r="L110" i="29" s="1"/>
  <c r="Q108" i="29"/>
  <c r="B97" i="34" s="1"/>
  <c r="Q109" i="24"/>
  <c r="C98" i="34" s="1"/>
  <c r="N109" i="24"/>
  <c r="P110" i="24"/>
  <c r="F111" i="24"/>
  <c r="H111" i="24" s="1"/>
  <c r="K111" i="24" s="1"/>
  <c r="B112" i="24"/>
  <c r="G112" i="24" s="1"/>
  <c r="I111" i="24"/>
  <c r="L111" i="24" s="1"/>
  <c r="C111" i="24"/>
  <c r="M111" i="24" s="1"/>
  <c r="J110" i="24"/>
  <c r="O110" i="24"/>
  <c r="P112" i="33" l="1"/>
  <c r="J112" i="33"/>
  <c r="K112" i="33"/>
  <c r="O112" i="33" s="1"/>
  <c r="G113" i="33"/>
  <c r="I113" i="33" s="1"/>
  <c r="L113" i="33" s="1"/>
  <c r="B114" i="33"/>
  <c r="F113" i="33"/>
  <c r="H113" i="33" s="1"/>
  <c r="C113" i="33"/>
  <c r="M113" i="33" s="1"/>
  <c r="N109" i="32"/>
  <c r="F111" i="32"/>
  <c r="H111" i="32" s="1"/>
  <c r="C111" i="32"/>
  <c r="M111" i="32" s="1"/>
  <c r="G111" i="32"/>
  <c r="I111" i="32" s="1"/>
  <c r="L111" i="32" s="1"/>
  <c r="B112" i="32"/>
  <c r="P110" i="32"/>
  <c r="J110" i="32"/>
  <c r="K110" i="32"/>
  <c r="O110" i="32" s="1"/>
  <c r="Q109" i="32"/>
  <c r="P110" i="31"/>
  <c r="C111" i="31"/>
  <c r="M111" i="31" s="1"/>
  <c r="G111" i="31"/>
  <c r="I111" i="31" s="1"/>
  <c r="L111" i="31" s="1"/>
  <c r="B112" i="31"/>
  <c r="F111" i="31"/>
  <c r="H111" i="31" s="1"/>
  <c r="N109" i="31"/>
  <c r="Q109" i="31"/>
  <c r="E98" i="34" s="1"/>
  <c r="J110" i="31"/>
  <c r="K110" i="31"/>
  <c r="O110" i="31" s="1"/>
  <c r="P110" i="30"/>
  <c r="J110" i="30"/>
  <c r="K110" i="30"/>
  <c r="O110" i="30" s="1"/>
  <c r="C111" i="30"/>
  <c r="M111" i="30" s="1"/>
  <c r="B112" i="30"/>
  <c r="G111" i="30"/>
  <c r="I111" i="30" s="1"/>
  <c r="L111" i="30" s="1"/>
  <c r="F111" i="30"/>
  <c r="H111" i="30" s="1"/>
  <c r="N109" i="30"/>
  <c r="Q109" i="30"/>
  <c r="D98" i="34" s="1"/>
  <c r="Q109" i="29"/>
  <c r="B98" i="34" s="1"/>
  <c r="P110" i="29"/>
  <c r="J110" i="29"/>
  <c r="K110" i="29"/>
  <c r="O110" i="29" s="1"/>
  <c r="F111" i="29"/>
  <c r="H111" i="29" s="1"/>
  <c r="B112" i="29"/>
  <c r="G111" i="29"/>
  <c r="I111" i="29" s="1"/>
  <c r="L111" i="29" s="1"/>
  <c r="C111" i="29"/>
  <c r="M111" i="29" s="1"/>
  <c r="F112" i="24"/>
  <c r="H112" i="24" s="1"/>
  <c r="K112" i="24" s="1"/>
  <c r="B113" i="24"/>
  <c r="G113" i="24" s="1"/>
  <c r="I112" i="24"/>
  <c r="L112" i="24" s="1"/>
  <c r="C112" i="24"/>
  <c r="M112" i="24" s="1"/>
  <c r="P111" i="24"/>
  <c r="J111" i="24"/>
  <c r="O111" i="24"/>
  <c r="Q110" i="24"/>
  <c r="C99" i="34" s="1"/>
  <c r="N110" i="24"/>
  <c r="P113" i="33" l="1"/>
  <c r="J113" i="33"/>
  <c r="K113" i="33"/>
  <c r="O113" i="33" s="1"/>
  <c r="C114" i="33"/>
  <c r="M114" i="33" s="1"/>
  <c r="G114" i="33"/>
  <c r="I114" i="33" s="1"/>
  <c r="L114" i="33" s="1"/>
  <c r="F114" i="33"/>
  <c r="H114" i="33" s="1"/>
  <c r="N112" i="33"/>
  <c r="Q112" i="33"/>
  <c r="Q110" i="32"/>
  <c r="G112" i="32"/>
  <c r="I112" i="32" s="1"/>
  <c r="L112" i="32" s="1"/>
  <c r="B113" i="32"/>
  <c r="F112" i="32"/>
  <c r="H112" i="32" s="1"/>
  <c r="C112" i="32"/>
  <c r="M112" i="32" s="1"/>
  <c r="P111" i="32"/>
  <c r="N110" i="32"/>
  <c r="J111" i="32"/>
  <c r="K111" i="32"/>
  <c r="O111" i="32" s="1"/>
  <c r="J111" i="31"/>
  <c r="K111" i="31"/>
  <c r="O111" i="31" s="1"/>
  <c r="C112" i="31"/>
  <c r="M112" i="31" s="1"/>
  <c r="G112" i="31"/>
  <c r="I112" i="31" s="1"/>
  <c r="L112" i="31" s="1"/>
  <c r="B113" i="31"/>
  <c r="F112" i="31"/>
  <c r="H112" i="31" s="1"/>
  <c r="Q110" i="31"/>
  <c r="E99" i="34" s="1"/>
  <c r="P111" i="31"/>
  <c r="N110" i="31"/>
  <c r="J111" i="30"/>
  <c r="K111" i="30"/>
  <c r="O111" i="30" s="1"/>
  <c r="C112" i="30"/>
  <c r="M112" i="30" s="1"/>
  <c r="B113" i="30"/>
  <c r="F112" i="30"/>
  <c r="H112" i="30" s="1"/>
  <c r="G112" i="30"/>
  <c r="I112" i="30" s="1"/>
  <c r="L112" i="30" s="1"/>
  <c r="P111" i="30"/>
  <c r="N110" i="30"/>
  <c r="Q110" i="30"/>
  <c r="D99" i="34" s="1"/>
  <c r="P111" i="29"/>
  <c r="G112" i="29"/>
  <c r="I112" i="29" s="1"/>
  <c r="L112" i="29" s="1"/>
  <c r="C112" i="29"/>
  <c r="M112" i="29" s="1"/>
  <c r="B113" i="29"/>
  <c r="F112" i="29"/>
  <c r="H112" i="29" s="1"/>
  <c r="J111" i="29"/>
  <c r="K111" i="29"/>
  <c r="O111" i="29" s="1"/>
  <c r="Q110" i="29"/>
  <c r="B99" i="34" s="1"/>
  <c r="N110" i="29"/>
  <c r="N111" i="24"/>
  <c r="P112" i="24"/>
  <c r="Q111" i="24"/>
  <c r="C100" i="34" s="1"/>
  <c r="F113" i="24"/>
  <c r="H113" i="24" s="1"/>
  <c r="K113" i="24" s="1"/>
  <c r="B114" i="24"/>
  <c r="G114" i="24" s="1"/>
  <c r="I113" i="24"/>
  <c r="L113" i="24" s="1"/>
  <c r="C113" i="24"/>
  <c r="M113" i="24" s="1"/>
  <c r="J112" i="24"/>
  <c r="O112" i="24"/>
  <c r="P114" i="33" l="1"/>
  <c r="N113" i="33"/>
  <c r="J114" i="33"/>
  <c r="K114" i="33"/>
  <c r="O114" i="33" s="1"/>
  <c r="Q113" i="33"/>
  <c r="N111" i="32"/>
  <c r="Q111" i="32"/>
  <c r="P112" i="32"/>
  <c r="J112" i="32"/>
  <c r="K112" i="32"/>
  <c r="O112" i="32" s="1"/>
  <c r="C113" i="32"/>
  <c r="M113" i="32" s="1"/>
  <c r="B114" i="32"/>
  <c r="G113" i="32"/>
  <c r="I113" i="32" s="1"/>
  <c r="L113" i="32" s="1"/>
  <c r="F113" i="32"/>
  <c r="H113" i="32" s="1"/>
  <c r="N111" i="31"/>
  <c r="Q111" i="31"/>
  <c r="E100" i="34" s="1"/>
  <c r="N111" i="30"/>
  <c r="Q111" i="30"/>
  <c r="D100" i="34" s="1"/>
  <c r="J112" i="31"/>
  <c r="K112" i="31"/>
  <c r="O112" i="31" s="1"/>
  <c r="G113" i="31"/>
  <c r="I113" i="31" s="1"/>
  <c r="L113" i="31" s="1"/>
  <c r="F113" i="31"/>
  <c r="H113" i="31" s="1"/>
  <c r="C113" i="31"/>
  <c r="M113" i="31" s="1"/>
  <c r="B114" i="31"/>
  <c r="P112" i="31"/>
  <c r="J112" i="30"/>
  <c r="K112" i="30"/>
  <c r="O112" i="30" s="1"/>
  <c r="G113" i="30"/>
  <c r="I113" i="30" s="1"/>
  <c r="L113" i="30" s="1"/>
  <c r="B114" i="30"/>
  <c r="F113" i="30"/>
  <c r="H113" i="30" s="1"/>
  <c r="C113" i="30"/>
  <c r="M113" i="30" s="1"/>
  <c r="P112" i="30"/>
  <c r="J112" i="29"/>
  <c r="K112" i="29"/>
  <c r="O112" i="29" s="1"/>
  <c r="B114" i="29"/>
  <c r="F113" i="29"/>
  <c r="H113" i="29" s="1"/>
  <c r="C113" i="29"/>
  <c r="M113" i="29" s="1"/>
  <c r="G113" i="29"/>
  <c r="I113" i="29" s="1"/>
  <c r="L113" i="29" s="1"/>
  <c r="P112" i="29"/>
  <c r="N111" i="29"/>
  <c r="Q111" i="29"/>
  <c r="B100" i="34" s="1"/>
  <c r="F114" i="24"/>
  <c r="H114" i="24" s="1"/>
  <c r="K114" i="24" s="1"/>
  <c r="I114" i="24"/>
  <c r="L114" i="24" s="1"/>
  <c r="C114" i="24"/>
  <c r="M114" i="24" s="1"/>
  <c r="P113" i="24"/>
  <c r="Q112" i="24"/>
  <c r="C101" i="34" s="1"/>
  <c r="J113" i="24"/>
  <c r="O113" i="24"/>
  <c r="N112" i="24"/>
  <c r="Q112" i="29" l="1"/>
  <c r="B101" i="34" s="1"/>
  <c r="N112" i="29"/>
  <c r="N114" i="33"/>
  <c r="Q114" i="33"/>
  <c r="R10" i="33" s="1"/>
  <c r="Q112" i="32"/>
  <c r="F114" i="32"/>
  <c r="H114" i="32" s="1"/>
  <c r="G114" i="32"/>
  <c r="I114" i="32" s="1"/>
  <c r="L114" i="32" s="1"/>
  <c r="C114" i="32"/>
  <c r="M114" i="32" s="1"/>
  <c r="N112" i="32"/>
  <c r="J113" i="32"/>
  <c r="K113" i="32"/>
  <c r="O113" i="32" s="1"/>
  <c r="P113" i="32"/>
  <c r="Q112" i="31"/>
  <c r="E101" i="34" s="1"/>
  <c r="N112" i="31"/>
  <c r="N112" i="30"/>
  <c r="Q112" i="30"/>
  <c r="D101" i="34" s="1"/>
  <c r="P113" i="31"/>
  <c r="J113" i="31"/>
  <c r="K113" i="31"/>
  <c r="O113" i="31" s="1"/>
  <c r="C114" i="31"/>
  <c r="M114" i="31" s="1"/>
  <c r="G114" i="31"/>
  <c r="I114" i="31" s="1"/>
  <c r="L114" i="31" s="1"/>
  <c r="F114" i="31"/>
  <c r="H114" i="31" s="1"/>
  <c r="P113" i="30"/>
  <c r="K113" i="30"/>
  <c r="O113" i="30" s="1"/>
  <c r="J113" i="30"/>
  <c r="C114" i="30"/>
  <c r="M114" i="30" s="1"/>
  <c r="G114" i="30"/>
  <c r="I114" i="30" s="1"/>
  <c r="L114" i="30" s="1"/>
  <c r="F114" i="30"/>
  <c r="H114" i="30" s="1"/>
  <c r="P113" i="29"/>
  <c r="J113" i="29"/>
  <c r="K113" i="29"/>
  <c r="O113" i="29" s="1"/>
  <c r="G114" i="29"/>
  <c r="I114" i="29" s="1"/>
  <c r="L114" i="29" s="1"/>
  <c r="F114" i="29"/>
  <c r="H114" i="29" s="1"/>
  <c r="C114" i="29"/>
  <c r="M114" i="29" s="1"/>
  <c r="N113" i="24"/>
  <c r="P114" i="24"/>
  <c r="Q113" i="24"/>
  <c r="C102" i="34" s="1"/>
  <c r="J114" i="24"/>
  <c r="O114" i="24"/>
  <c r="N113" i="32" l="1"/>
  <c r="Q113" i="32"/>
  <c r="P114" i="32"/>
  <c r="J114" i="32"/>
  <c r="K114" i="32"/>
  <c r="O114" i="32" s="1"/>
  <c r="N113" i="31"/>
  <c r="Q113" i="31"/>
  <c r="E102" i="34" s="1"/>
  <c r="P114" i="31"/>
  <c r="J114" i="31"/>
  <c r="K114" i="31"/>
  <c r="O114" i="31" s="1"/>
  <c r="J114" i="30"/>
  <c r="K114" i="30"/>
  <c r="O114" i="30" s="1"/>
  <c r="P114" i="30"/>
  <c r="N113" i="30"/>
  <c r="Q113" i="30"/>
  <c r="D102" i="34" s="1"/>
  <c r="P114" i="29"/>
  <c r="J114" i="29"/>
  <c r="K114" i="29"/>
  <c r="O114" i="29" s="1"/>
  <c r="N113" i="29"/>
  <c r="Q113" i="29"/>
  <c r="B102" i="34" s="1"/>
  <c r="Q114" i="24"/>
  <c r="N114" i="24"/>
  <c r="R10" i="24" l="1"/>
  <c r="C103" i="34"/>
  <c r="N114" i="30"/>
  <c r="Q114" i="30"/>
  <c r="D103" i="34" s="1"/>
  <c r="N114" i="32"/>
  <c r="Q114" i="32"/>
  <c r="R10" i="32" s="1"/>
  <c r="N114" i="31"/>
  <c r="Q114" i="31"/>
  <c r="R10" i="30"/>
  <c r="N114" i="29"/>
  <c r="Q114" i="29"/>
  <c r="R10" i="31" l="1"/>
  <c r="E103" i="34"/>
  <c r="R10" i="29"/>
  <c r="B103" i="34"/>
</calcChain>
</file>

<file path=xl/sharedStrings.xml><?xml version="1.0" encoding="utf-8"?>
<sst xmlns="http://schemas.openxmlformats.org/spreadsheetml/2006/main" count="292" uniqueCount="36">
  <si>
    <t>X_i</t>
  </si>
  <si>
    <t>Y_i</t>
  </si>
  <si>
    <t>X_j</t>
  </si>
  <si>
    <t>Y_j</t>
  </si>
  <si>
    <t>B_j</t>
  </si>
  <si>
    <t>C_j</t>
  </si>
  <si>
    <t>Resolve</t>
  </si>
  <si>
    <t>Lambda</t>
  </si>
  <si>
    <t>Relative Hybrid</t>
  </si>
  <si>
    <t>Relative Conventional</t>
  </si>
  <si>
    <t>gains</t>
  </si>
  <si>
    <t>losses</t>
  </si>
  <si>
    <t>u(g)</t>
  </si>
  <si>
    <t>u(l)</t>
  </si>
  <si>
    <t>P(j)</t>
  </si>
  <si>
    <t>EU_j</t>
  </si>
  <si>
    <t>U(G) * Pj</t>
  </si>
  <si>
    <t>U(L)*(1-Pj)</t>
  </si>
  <si>
    <t>Threshold (s_t)</t>
  </si>
  <si>
    <t>Threshold s_t_0</t>
  </si>
  <si>
    <t>GAINS</t>
  </si>
  <si>
    <t>LOSSES</t>
  </si>
  <si>
    <t>Max EU_j</t>
  </si>
  <si>
    <t>GAINS - LOSSES</t>
  </si>
  <si>
    <t>X_i^0</t>
  </si>
  <si>
    <t>Y_i^0</t>
  </si>
  <si>
    <t>X_j^0</t>
  </si>
  <si>
    <t>Y_j^0</t>
  </si>
  <si>
    <t>X_i_Tot</t>
  </si>
  <si>
    <t>Y_i_Tot</t>
  </si>
  <si>
    <t>X_j_Tot</t>
  </si>
  <si>
    <t>Y_j_Tot</t>
  </si>
  <si>
    <r>
      <t>Scenario 5 S</t>
    </r>
    <r>
      <rPr>
        <vertAlign val="subscript"/>
        <sz val="11"/>
        <color theme="1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 xml:space="preserve"> = 0.4</t>
    </r>
  </si>
  <si>
    <r>
      <t>Scenario 5 S</t>
    </r>
    <r>
      <rPr>
        <vertAlign val="subscript"/>
        <sz val="11"/>
        <color theme="1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 xml:space="preserve"> = 0.5</t>
    </r>
  </si>
  <si>
    <r>
      <t>Scenario 6 S</t>
    </r>
    <r>
      <rPr>
        <vertAlign val="subscript"/>
        <sz val="11"/>
        <color theme="1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 xml:space="preserve"> = 0.4</t>
    </r>
  </si>
  <si>
    <r>
      <t>Scenario 6 S</t>
    </r>
    <r>
      <rPr>
        <vertAlign val="subscript"/>
        <sz val="11"/>
        <color theme="1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 xml:space="preserve"> = 0.5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</si>
</sst>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43" fontId="1" fillId="0" borderId="0" xfId="1" applyFont="1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43" fontId="1" fillId="0" borderId="0" xfId="1" applyFont="1" applyFill="1"/>
    <xf numFmtId="165" fontId="2" fillId="0" borderId="0" xfId="0" applyNumberFormat="1" applyFont="1"/>
    <xf numFmtId="0" fontId="0" fillId="0" borderId="0" xfId="0" applyAlignment="1">
      <alignment horizontal="center" wrapText="1"/>
    </xf>
    <xf numFmtId="9" fontId="0" fillId="0" borderId="0" xfId="2" applyFont="1"/>
    <xf numFmtId="9" fontId="2" fillId="0" borderId="0" xfId="2" applyFont="1" applyFill="1"/>
    <xf numFmtId="0" fontId="2" fillId="0" borderId="1" xfId="0" applyFont="1" applyBorder="1"/>
    <xf numFmtId="9" fontId="2" fillId="0" borderId="0" xfId="2" applyFon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EU</a:t>
            </a:r>
            <a:r>
              <a:rPr lang="fr-BE" baseline="-25000"/>
              <a:t>j</a:t>
            </a:r>
            <a:r>
              <a:rPr lang="fr-BE"/>
              <a:t> - Scenario</a:t>
            </a:r>
            <a:r>
              <a:rPr lang="fr-BE" baseline="0"/>
              <a:t>s 5 - 6</a:t>
            </a:r>
            <a:endParaRPr lang="fr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Graphs!$B$2</c:f>
              <c:strCache>
                <c:ptCount val="1"/>
                <c:pt idx="0">
                  <c:v>Scenario 5 St1 = 0.4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Graphs!$A$3:$A$103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Graphs!$B$3:$B$103</c:f>
              <c:numCache>
                <c:formatCode>General</c:formatCode>
                <c:ptCount val="101"/>
                <c:pt idx="0">
                  <c:v>197.5</c:v>
                </c:pt>
                <c:pt idx="1">
                  <c:v>197.50980395189961</c:v>
                </c:pt>
                <c:pt idx="2">
                  <c:v>197.53848381590663</c:v>
                </c:pt>
                <c:pt idx="3">
                  <c:v>197.58504637541557</c:v>
                </c:pt>
                <c:pt idx="4">
                  <c:v>197.64862029582235</c:v>
                </c:pt>
                <c:pt idx="5">
                  <c:v>197.7284365948843</c:v>
                </c:pt>
                <c:pt idx="6">
                  <c:v>197.82381195150529</c:v>
                </c:pt>
                <c:pt idx="7">
                  <c:v>197.93413440860229</c:v>
                </c:pt>
                <c:pt idx="8">
                  <c:v>198.05885109717605</c:v>
                </c:pt>
                <c:pt idx="9">
                  <c:v>198.19745766710955</c:v>
                </c:pt>
                <c:pt idx="10">
                  <c:v>198.3494891578278</c:v>
                </c:pt>
                <c:pt idx="11">
                  <c:v>198.51451208055579</c:v>
                </c:pt>
                <c:pt idx="12">
                  <c:v>198.69211751489323</c:v>
                </c:pt>
                <c:pt idx="13">
                  <c:v>198.88191504683732</c:v>
                </c:pt>
                <c:pt idx="14">
                  <c:v>199.08352739398492</c:v>
                </c:pt>
                <c:pt idx="15">
                  <c:v>199.29658557695265</c:v>
                </c:pt>
                <c:pt idx="16">
                  <c:v>199.52072450433596</c:v>
                </c:pt>
                <c:pt idx="17">
                  <c:v>199.75557884185517</c:v>
                </c:pt>
                <c:pt idx="18">
                  <c:v>200.0007790345374</c:v>
                </c:pt>
                <c:pt idx="19">
                  <c:v>200.25594734348243</c:v>
                </c:pt>
                <c:pt idx="20">
                  <c:v>200.52069374533889</c:v>
                </c:pt>
                <c:pt idx="21">
                  <c:v>200.79461152221023</c:v>
                </c:pt>
                <c:pt idx="22">
                  <c:v>201.07727234121393</c:v>
                </c:pt>
                <c:pt idx="23">
                  <c:v>201.36822058496952</c:v>
                </c:pt>
                <c:pt idx="24">
                  <c:v>201.6669666453285</c:v>
                </c:pt>
                <c:pt idx="25">
                  <c:v>201.97297883099418</c:v>
                </c:pt>
                <c:pt idx="26">
                  <c:v>202.28567346367527</c:v>
                </c:pt>
                <c:pt idx="27">
                  <c:v>202.60440264580899</c:v>
                </c:pt>
                <c:pt idx="28">
                  <c:v>202.92843907533918</c:v>
                </c:pt>
                <c:pt idx="29">
                  <c:v>203.2569571610216</c:v>
                </c:pt>
                <c:pt idx="30">
                  <c:v>203.58900955996859</c:v>
                </c:pt>
                <c:pt idx="31">
                  <c:v>203.92349812774376</c:v>
                </c:pt>
                <c:pt idx="32">
                  <c:v>204.259138158914</c:v>
                </c:pt>
                <c:pt idx="33">
                  <c:v>204.59441473415373</c:v>
                </c:pt>
                <c:pt idx="34">
                  <c:v>204.92753002916243</c:v>
                </c:pt>
                <c:pt idx="35">
                  <c:v>205.25634065714706</c:v>
                </c:pt>
                <c:pt idx="36">
                  <c:v>205.57828462028272</c:v>
                </c:pt>
                <c:pt idx="37">
                  <c:v>205.89029838550749</c:v>
                </c:pt>
                <c:pt idx="38">
                  <c:v>206.18872616374088</c:v>
                </c:pt>
                <c:pt idx="39">
                  <c:v>206.4692258692692</c:v>
                </c:pt>
                <c:pt idx="40">
                  <c:v>206.72667965641318</c:v>
                </c:pt>
                <c:pt idx="41">
                  <c:v>206.95512145176218</c:v>
                </c:pt>
                <c:pt idx="42">
                  <c:v>207.1476993378817</c:v>
                </c:pt>
                <c:pt idx="43">
                  <c:v>207.29669633423177</c:v>
                </c:pt>
                <c:pt idx="44">
                  <c:v>207.39363767029963</c:v>
                </c:pt>
                <c:pt idx="45">
                  <c:v>207.42951376107146</c:v>
                </c:pt>
                <c:pt idx="46">
                  <c:v>207.39514269414957</c:v>
                </c:pt>
                <c:pt idx="47">
                  <c:v>207.28168093433948</c:v>
                </c:pt>
                <c:pt idx="48">
                  <c:v>207.08126433031907</c:v>
                </c:pt>
                <c:pt idx="49">
                  <c:v>206.78772505834826</c:v>
                </c:pt>
                <c:pt idx="50">
                  <c:v>206.39729099801684</c:v>
                </c:pt>
                <c:pt idx="51">
                  <c:v>205.9091449466672</c:v>
                </c:pt>
                <c:pt idx="52">
                  <c:v>205.32571711781006</c:v>
                </c:pt>
                <c:pt idx="53">
                  <c:v>204.65261613388901</c:v>
                </c:pt>
                <c:pt idx="54">
                  <c:v>203.89816977769834</c:v>
                </c:pt>
                <c:pt idx="55">
                  <c:v>203.07263038885824</c:v>
                </c:pt>
                <c:pt idx="56">
                  <c:v>202.18717395931839</c:v>
                </c:pt>
                <c:pt idx="57">
                  <c:v>201.25286134117988</c:v>
                </c:pt>
                <c:pt idx="58">
                  <c:v>200.2797230009981</c:v>
                </c:pt>
                <c:pt idx="59">
                  <c:v>199.27608242294039</c:v>
                </c:pt>
                <c:pt idx="60">
                  <c:v>198.24816783698509</c:v>
                </c:pt>
                <c:pt idx="61">
                  <c:v>197.20000007893208</c:v>
                </c:pt>
                <c:pt idx="62">
                  <c:v>196.13350165135648</c:v>
                </c:pt>
                <c:pt idx="63">
                  <c:v>195.04875332929996</c:v>
                </c:pt>
                <c:pt idx="64">
                  <c:v>193.94432615242607</c:v>
                </c:pt>
                <c:pt idx="65">
                  <c:v>192.81763050509045</c:v>
                </c:pt>
                <c:pt idx="66">
                  <c:v>191.66524240109578</c:v>
                </c:pt>
                <c:pt idx="67">
                  <c:v>190.48318454002407</c:v>
                </c:pt>
                <c:pt idx="68">
                  <c:v>189.26715337803444</c:v>
                </c:pt>
                <c:pt idx="69">
                  <c:v>188.01269265851033</c:v>
                </c:pt>
                <c:pt idx="70">
                  <c:v>186.71531910119467</c:v>
                </c:pt>
                <c:pt idx="71">
                  <c:v>185.37060825964721</c:v>
                </c:pt>
                <c:pt idx="72">
                  <c:v>183.97424895454918</c:v>
                </c:pt>
                <c:pt idx="73">
                  <c:v>182.52207400978494</c:v>
                </c:pt>
                <c:pt idx="74">
                  <c:v>181.01007384723113</c:v>
                </c:pt>
                <c:pt idx="75">
                  <c:v>179.43439820233391</c:v>
                </c:pt>
                <c:pt idx="76">
                  <c:v>177.79135000818837</c:v>
                </c:pt>
                <c:pt idx="77">
                  <c:v>176.07737445317571</c:v>
                </c:pt>
                <c:pt idx="78">
                  <c:v>174.28904537221359</c:v>
                </c:pt>
                <c:pt idx="79">
                  <c:v>172.42305047480625</c:v>
                </c:pt>
                <c:pt idx="80">
                  <c:v>170.4761764188018</c:v>
                </c:pt>
                <c:pt idx="81">
                  <c:v>168.44529437689854</c:v>
                </c:pt>
                <c:pt idx="82">
                  <c:v>166.32734648455011</c:v>
                </c:pt>
                <c:pt idx="83">
                  <c:v>164.11933337794761</c:v>
                </c:pt>
                <c:pt idx="84">
                  <c:v>161.81830290876314</c:v>
                </c:pt>
                <c:pt idx="85">
                  <c:v>159.42134004232017</c:v>
                </c:pt>
                <c:pt idx="86">
                  <c:v>156.92555789564187</c:v>
                </c:pt>
                <c:pt idx="87">
                  <c:v>154.3280898423755</c:v>
                </c:pt>
                <c:pt idx="88">
                  <c:v>151.62608259629499</c:v>
                </c:pt>
                <c:pt idx="89">
                  <c:v>148.81669017921979</c:v>
                </c:pt>
                <c:pt idx="90">
                  <c:v>145.89706867939358</c:v>
                </c:pt>
                <c:pt idx="91">
                  <c:v>142.86437171032011</c:v>
                </c:pt>
                <c:pt idx="92">
                  <c:v>139.71574648615174</c:v>
                </c:pt>
                <c:pt idx="93">
                  <c:v>136.44833043689363</c:v>
                </c:pt>
                <c:pt idx="94">
                  <c:v>133.05924829422131</c:v>
                </c:pt>
                <c:pt idx="95">
                  <c:v>129.54560958615798</c:v>
                </c:pt>
                <c:pt idx="96">
                  <c:v>125.90450648595211</c:v>
                </c:pt>
                <c:pt idx="97">
                  <c:v>122.13301196708055</c:v>
                </c:pt>
                <c:pt idx="98">
                  <c:v>118.22817822230924</c:v>
                </c:pt>
                <c:pt idx="99">
                  <c:v>114.18703531014602</c:v>
                </c:pt>
                <c:pt idx="100">
                  <c:v>110.00658999683654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4-4813-A682-14524C93C682}"/>
            </c:ext>
          </c:extLst>
        </c:ser>
        <c:ser>
          <c:idx val="1"/>
          <c:order val="1"/>
          <c:tx>
            <c:strRef>
              <c:f>Graphs!$C$2</c:f>
              <c:strCache>
                <c:ptCount val="1"/>
                <c:pt idx="0">
                  <c:v>Scenario 5 St1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Graphs!$A$3:$A$103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Graphs!$C$3:$C$103</c:f>
              <c:numCache>
                <c:formatCode>General</c:formatCode>
                <c:ptCount val="101"/>
                <c:pt idx="0">
                  <c:v>196.5</c:v>
                </c:pt>
                <c:pt idx="1">
                  <c:v>196.50983145454828</c:v>
                </c:pt>
                <c:pt idx="2">
                  <c:v>196.5386944998298</c:v>
                </c:pt>
                <c:pt idx="3">
                  <c:v>196.58572912585987</c:v>
                </c:pt>
                <c:pt idx="4">
                  <c:v>196.65017696448535</c:v>
                </c:pt>
                <c:pt idx="5">
                  <c:v>196.7313655075713</c:v>
                </c:pt>
                <c:pt idx="6">
                  <c:v>196.82869453242057</c:v>
                </c:pt>
                <c:pt idx="7">
                  <c:v>196.94162440582957</c:v>
                </c:pt>
                <c:pt idx="8">
                  <c:v>197.0696659892848</c:v>
                </c:pt>
                <c:pt idx="9">
                  <c:v>197.21237191010178</c:v>
                </c:pt>
                <c:pt idx="10">
                  <c:v>197.36932899830427</c:v>
                </c:pt>
                <c:pt idx="11">
                  <c:v>197.54015171794674</c:v>
                </c:pt>
                <c:pt idx="12">
                  <c:v>197.72447644535413</c:v>
                </c:pt>
                <c:pt idx="13">
                  <c:v>197.92195646614638</c:v>
                </c:pt>
                <c:pt idx="14">
                  <c:v>198.13225757850512</c:v>
                </c:pt>
                <c:pt idx="15">
                  <c:v>198.35505420235668</c:v>
                </c:pt>
                <c:pt idx="16">
                  <c:v>198.59002590327728</c:v>
                </c:pt>
                <c:pt idx="17">
                  <c:v>198.83685424613495</c:v>
                </c:pt>
                <c:pt idx="18">
                  <c:v>199.09521989681301</c:v>
                </c:pt>
                <c:pt idx="19">
                  <c:v>199.36479989071398</c:v>
                </c:pt>
                <c:pt idx="20">
                  <c:v>199.64526498390845</c:v>
                </c:pt>
                <c:pt idx="21">
                  <c:v>199.93627699639009</c:v>
                </c:pt>
                <c:pt idx="22">
                  <c:v>200.23748604639178</c:v>
                </c:pt>
                <c:pt idx="23">
                  <c:v>200.5485275593777</c:v>
                </c:pt>
                <c:pt idx="24">
                  <c:v>200.86901891420013</c:v>
                </c:pt>
                <c:pt idx="25">
                  <c:v>201.19855556080392</c:v>
                </c:pt>
                <c:pt idx="26">
                  <c:v>201.53670640730323</c:v>
                </c:pt>
                <c:pt idx="27">
                  <c:v>201.88300822747775</c:v>
                </c:pt>
                <c:pt idx="28">
                  <c:v>202.23695878069481</c:v>
                </c:pt>
                <c:pt idx="29">
                  <c:v>202.59800826266979</c:v>
                </c:pt>
                <c:pt idx="30">
                  <c:v>202.96554861494235</c:v>
                </c:pt>
                <c:pt idx="31">
                  <c:v>203.33890011121935</c:v>
                </c:pt>
                <c:pt idx="32">
                  <c:v>203.71729450819612</c:v>
                </c:pt>
                <c:pt idx="33">
                  <c:v>204.09985389689385</c:v>
                </c:pt>
                <c:pt idx="34">
                  <c:v>204.48556422043657</c:v>
                </c:pt>
                <c:pt idx="35">
                  <c:v>204.87324224275463</c:v>
                </c:pt>
                <c:pt idx="36">
                  <c:v>205.26149457495848</c:v>
                </c:pt>
                <c:pt idx="37">
                  <c:v>205.64866721934018</c:v>
                </c:pt>
                <c:pt idx="38">
                  <c:v>206.03278402084925</c:v>
                </c:pt>
                <c:pt idx="39">
                  <c:v>206.41147249480863</c:v>
                </c:pt>
                <c:pt idx="40">
                  <c:v>206.78187583643202</c:v>
                </c:pt>
                <c:pt idx="41">
                  <c:v>207.14055066800191</c:v>
                </c:pt>
                <c:pt idx="42">
                  <c:v>207.48335145311466</c:v>
                </c:pt>
                <c:pt idx="43">
                  <c:v>207.80530476572645</c:v>
                </c:pt>
                <c:pt idx="44">
                  <c:v>208.10048003415199</c:v>
                </c:pt>
                <c:pt idx="45">
                  <c:v>208.36186823957172</c:v>
                </c:pt>
                <c:pt idx="46">
                  <c:v>208.58128642303683</c:v>
                </c:pt>
                <c:pt idx="47">
                  <c:v>208.7493334521665</c:v>
                </c:pt>
                <c:pt idx="48">
                  <c:v>208.85543034084586</c:v>
                </c:pt>
                <c:pt idx="49">
                  <c:v>208.88798449550305</c:v>
                </c:pt>
                <c:pt idx="50">
                  <c:v>208.83471831838239</c:v>
                </c:pt>
                <c:pt idx="51">
                  <c:v>208.68319430247712</c:v>
                </c:pt>
                <c:pt idx="52">
                  <c:v>208.42154670706282</c:v>
                </c:pt>
                <c:pt idx="53">
                  <c:v>208.03939175134423</c:v>
                </c:pt>
                <c:pt idx="54">
                  <c:v>207.52883669060208</c:v>
                </c:pt>
                <c:pt idx="55">
                  <c:v>206.88545353173726</c:v>
                </c:pt>
                <c:pt idx="56">
                  <c:v>206.10904365616994</c:v>
                </c:pt>
                <c:pt idx="57">
                  <c:v>205.20401636951101</c:v>
                </c:pt>
                <c:pt idx="58">
                  <c:v>204.17925177858527</c:v>
                </c:pt>
                <c:pt idx="59">
                  <c:v>203.04741351542299</c:v>
                </c:pt>
                <c:pt idx="60">
                  <c:v>201.82379528277815</c:v>
                </c:pt>
                <c:pt idx="61">
                  <c:v>200.52488852815253</c:v>
                </c:pt>
                <c:pt idx="62">
                  <c:v>199.16691136677551</c:v>
                </c:pt>
                <c:pt idx="63">
                  <c:v>197.76452583478641</c:v>
                </c:pt>
                <c:pt idx="64">
                  <c:v>196.32990256164695</c:v>
                </c:pt>
                <c:pt idx="65">
                  <c:v>194.87219827296923</c:v>
                </c:pt>
                <c:pt idx="66">
                  <c:v>193.39742424062871</c:v>
                </c:pt>
                <c:pt idx="67">
                  <c:v>191.90862449703931</c:v>
                </c:pt>
                <c:pt idx="68">
                  <c:v>190.40625765035497</c:v>
                </c:pt>
                <c:pt idx="69">
                  <c:v>188.88867963799311</c:v>
                </c:pt>
                <c:pt idx="70">
                  <c:v>187.35264535502415</c:v>
                </c:pt>
                <c:pt idx="71">
                  <c:v>185.79377369445638</c:v>
                </c:pt>
                <c:pt idx="72">
                  <c:v>184.20694540429071</c:v>
                </c:pt>
                <c:pt idx="73">
                  <c:v>182.58662245239933</c:v>
                </c:pt>
                <c:pt idx="74">
                  <c:v>180.92709042337265</c:v>
                </c:pt>
                <c:pt idx="75">
                  <c:v>179.22263267956924</c:v>
                </c:pt>
                <c:pt idx="76">
                  <c:v>177.46764807813059</c:v>
                </c:pt>
                <c:pt idx="77">
                  <c:v>175.65672442563212</c:v>
                </c:pt>
                <c:pt idx="78">
                  <c:v>173.78467875984251</c:v>
                </c:pt>
                <c:pt idx="79">
                  <c:v>171.84657380166584</c:v>
                </c:pt>
                <c:pt idx="80">
                  <c:v>169.83771803207037</c:v>
                </c:pt>
                <c:pt idx="81">
                  <c:v>167.75365509666617</c:v>
                </c:pt>
                <c:pt idx="82">
                  <c:v>165.59014674777325</c:v>
                </c:pt>
                <c:pt idx="83">
                  <c:v>163.34315233135794</c:v>
                </c:pt>
                <c:pt idx="84">
                  <c:v>161.00880689643736</c:v>
                </c:pt>
                <c:pt idx="85">
                  <c:v>158.58339930846705</c:v>
                </c:pt>
                <c:pt idx="86">
                  <c:v>156.06335124124894</c:v>
                </c:pt>
                <c:pt idx="87">
                  <c:v>153.44519756192523</c:v>
                </c:pt>
                <c:pt idx="88">
                  <c:v>150.72556837452214</c:v>
                </c:pt>
                <c:pt idx="89">
                  <c:v>147.90117282000199</c:v>
                </c:pt>
                <c:pt idx="90">
                  <c:v>144.96878462206263</c:v>
                </c:pt>
                <c:pt idx="91">
                  <c:v>141.92522930073642</c:v>
                </c:pt>
                <c:pt idx="92">
                  <c:v>138.76737293740626</c:v>
                </c:pt>
                <c:pt idx="93">
                  <c:v>135.49211235590346</c:v>
                </c:pt>
                <c:pt idx="94">
                  <c:v>132.09636657824379</c:v>
                </c:pt>
                <c:pt idx="95">
                  <c:v>128.57706941563529</c:v>
                </c:pt>
                <c:pt idx="96">
                  <c:v>124.93116306241421</c:v>
                </c:pt>
                <c:pt idx="97">
                  <c:v>121.15559257034172</c:v>
                </c:pt>
                <c:pt idx="98">
                  <c:v>117.24730109174689</c:v>
                </c:pt>
                <c:pt idx="99">
                  <c:v>113.2032257913816</c:v>
                </c:pt>
                <c:pt idx="100">
                  <c:v>109.02029433796147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84-4813-A682-14524C93C682}"/>
            </c:ext>
          </c:extLst>
        </c:ser>
        <c:ser>
          <c:idx val="2"/>
          <c:order val="2"/>
          <c:tx>
            <c:strRef>
              <c:f>Graphs!$D$2</c:f>
              <c:strCache>
                <c:ptCount val="1"/>
                <c:pt idx="0">
                  <c:v>Scenario 6 St1 = 0.4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Graphs!$A$3:$A$103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Graphs!$D$3:$D$103</c:f>
              <c:numCache>
                <c:formatCode>General</c:formatCode>
                <c:ptCount val="101"/>
                <c:pt idx="0">
                  <c:v>200</c:v>
                </c:pt>
                <c:pt idx="1">
                  <c:v>200.00947800452343</c:v>
                </c:pt>
                <c:pt idx="2">
                  <c:v>200.03602526524995</c:v>
                </c:pt>
                <c:pt idx="3">
                  <c:v>200.07720434574838</c:v>
                </c:pt>
                <c:pt idx="4">
                  <c:v>200.13101219766224</c:v>
                </c:pt>
                <c:pt idx="5">
                  <c:v>200.19578812198597</c:v>
                </c:pt>
                <c:pt idx="6">
                  <c:v>200.27014067532679</c:v>
                </c:pt>
                <c:pt idx="7">
                  <c:v>200.35288941688</c:v>
                </c:pt>
                <c:pt idx="8">
                  <c:v>200.44301832677883</c:v>
                </c:pt>
                <c:pt idx="9">
                  <c:v>200.53963843802575</c:v>
                </c:pt>
                <c:pt idx="10">
                  <c:v>200.64195776814682</c:v>
                </c:pt>
                <c:pt idx="11">
                  <c:v>200.74925705431008</c:v>
                </c:pt>
                <c:pt idx="12">
                  <c:v>200.86087011759574</c:v>
                </c:pt>
                <c:pt idx="13">
                  <c:v>200.97616793133611</c:v>
                </c:pt>
                <c:pt idx="14">
                  <c:v>201.09454566215231</c:v>
                </c:pt>
                <c:pt idx="15">
                  <c:v>201.2154121034942</c:v>
                </c:pt>
                <c:pt idx="16">
                  <c:v>201.33818103996049</c:v>
                </c:pt>
                <c:pt idx="17">
                  <c:v>201.46226417393609</c:v>
                </c:pt>
                <c:pt idx="18">
                  <c:v>201.58706531987019</c:v>
                </c:pt>
                <c:pt idx="19">
                  <c:v>201.71197563025541</c:v>
                </c:pt>
                <c:pt idx="20">
                  <c:v>201.836369664507</c:v>
                </c:pt>
                <c:pt idx="21">
                  <c:v>201.95960215018783</c:v>
                </c:pt>
                <c:pt idx="22">
                  <c:v>202.081005317559</c:v>
                </c:pt>
                <c:pt idx="23">
                  <c:v>202.19988671503143</c:v>
                </c:pt>
                <c:pt idx="24">
                  <c:v>202.31552743625127</c:v>
                </c:pt>
                <c:pt idx="25">
                  <c:v>202.42718071058977</c:v>
                </c:pt>
                <c:pt idx="26">
                  <c:v>202.53407082892221</c:v>
                </c:pt>
                <c:pt idx="27">
                  <c:v>202.63539239691684</c:v>
                </c:pt>
                <c:pt idx="28">
                  <c:v>202.7303099297236</c:v>
                </c:pt>
                <c:pt idx="29">
                  <c:v>202.81795782605252</c:v>
                </c:pt>
                <c:pt idx="30">
                  <c:v>202.89744078719514</c:v>
                </c:pt>
                <c:pt idx="31">
                  <c:v>202.96783477843641</c:v>
                </c:pt>
                <c:pt idx="32">
                  <c:v>203.02818866701625</c:v>
                </c:pt>
                <c:pt idx="33">
                  <c:v>203.07752671205276</c:v>
                </c:pt>
                <c:pt idx="34">
                  <c:v>203.1148521259764</c:v>
                </c:pt>
                <c:pt idx="35">
                  <c:v>203.13915197006168</c:v>
                </c:pt>
                <c:pt idx="36">
                  <c:v>203.14940368092616</c:v>
                </c:pt>
                <c:pt idx="37">
                  <c:v>203.14458353728105</c:v>
                </c:pt>
                <c:pt idx="38">
                  <c:v>203.12367734618226</c:v>
                </c:pt>
                <c:pt idx="39">
                  <c:v>203.08569352567557</c:v>
                </c:pt>
                <c:pt idx="40">
                  <c:v>203.02967854651121</c:v>
                </c:pt>
                <c:pt idx="41">
                  <c:v>202.95473432337627</c:v>
                </c:pt>
                <c:pt idx="42">
                  <c:v>202.86003657286031</c:v>
                </c:pt>
                <c:pt idx="43">
                  <c:v>202.74485236164026</c:v>
                </c:pt>
                <c:pt idx="44">
                  <c:v>202.60855409185788</c:v>
                </c:pt>
                <c:pt idx="45">
                  <c:v>202.45062615106414</c:v>
                </c:pt>
                <c:pt idx="46">
                  <c:v>202.27065967512186</c:v>
                </c:pt>
                <c:pt idx="47">
                  <c:v>202.06833077012885</c:v>
                </c:pt>
                <c:pt idx="48">
                  <c:v>201.84335863028483</c:v>
                </c:pt>
                <c:pt idx="49">
                  <c:v>201.59544267730536</c:v>
                </c:pt>
                <c:pt idx="50">
                  <c:v>201.32418212484777</c:v>
                </c:pt>
                <c:pt idx="51">
                  <c:v>201.02898652231576</c:v>
                </c:pt>
                <c:pt idx="52">
                  <c:v>200.70899036859879</c:v>
                </c:pt>
                <c:pt idx="53">
                  <c:v>200.36298693108017</c:v>
                </c:pt>
                <c:pt idx="54">
                  <c:v>199.98939451920745</c:v>
                </c:pt>
                <c:pt idx="55">
                  <c:v>199.58626253912439</c:v>
                </c:pt>
                <c:pt idx="56">
                  <c:v>199.15131628678301</c:v>
                </c:pt>
                <c:pt idx="57">
                  <c:v>198.68203135088183</c:v>
                </c:pt>
                <c:pt idx="58">
                  <c:v>198.17572331071113</c:v>
                </c:pt>
                <c:pt idx="59">
                  <c:v>197.62963744129672</c:v>
                </c:pt>
                <c:pt idx="60">
                  <c:v>197.04102597232225</c:v>
                </c:pt>
                <c:pt idx="61">
                  <c:v>196.40720545281101</c:v>
                </c:pt>
                <c:pt idx="62">
                  <c:v>195.72559203336391</c:v>
                </c:pt>
                <c:pt idx="63">
                  <c:v>194.99371658716095</c:v>
                </c:pt>
                <c:pt idx="64">
                  <c:v>194.20922396842201</c:v>
                </c:pt>
                <c:pt idx="65">
                  <c:v>193.36986146607308</c:v>
                </c:pt>
                <c:pt idx="66">
                  <c:v>192.47346113296248</c:v>
                </c:pt>
                <c:pt idx="67">
                  <c:v>191.51791970386256</c:v>
                </c:pt>
                <c:pt idx="68">
                  <c:v>190.50117869168096</c:v>
                </c:pt>
                <c:pt idx="69">
                  <c:v>189.42120623514109</c:v>
                </c:pt>
                <c:pt idx="70">
                  <c:v>188.27598147944366</c:v>
                </c:pt>
                <c:pt idx="71">
                  <c:v>187.0634817222678</c:v>
                </c:pt>
                <c:pt idx="72">
                  <c:v>185.78167221761882</c:v>
                </c:pt>
                <c:pt idx="73">
                  <c:v>184.42849834814643</c:v>
                </c:pt>
                <c:pt idx="74">
                  <c:v>183.00187980229299</c:v>
                </c:pt>
                <c:pt idx="75">
                  <c:v>181.49970638492107</c:v>
                </c:pt>
                <c:pt idx="76">
                  <c:v>179.91983511902811</c:v>
                </c:pt>
                <c:pt idx="77">
                  <c:v>178.26008834189071</c:v>
                </c:pt>
                <c:pt idx="78">
                  <c:v>176.51825254927417</c:v>
                </c:pt>
                <c:pt idx="79">
                  <c:v>174.69207778940529</c:v>
                </c:pt>
                <c:pt idx="80">
                  <c:v>172.77927745094786</c:v>
                </c:pt>
                <c:pt idx="81">
                  <c:v>170.77752832509833</c:v>
                </c:pt>
                <c:pt idx="82">
                  <c:v>168.6844708511733</c:v>
                </c:pt>
                <c:pt idx="83">
                  <c:v>166.49770947833207</c:v>
                </c:pt>
                <c:pt idx="84">
                  <c:v>164.21481309423484</c:v>
                </c:pt>
                <c:pt idx="85">
                  <c:v>161.8333154853795</c:v>
                </c:pt>
                <c:pt idx="86">
                  <c:v>159.35071580442406</c:v>
                </c:pt>
                <c:pt idx="87">
                  <c:v>156.76447902770391</c:v>
                </c:pt>
                <c:pt idx="88">
                  <c:v>154.07203639199173</c:v>
                </c:pt>
                <c:pt idx="89">
                  <c:v>151.27078580380669</c:v>
                </c:pt>
                <c:pt idx="90">
                  <c:v>148.35809221764094</c:v>
                </c:pt>
                <c:pt idx="91">
                  <c:v>145.33128798163153</c:v>
                </c:pt>
                <c:pt idx="92">
                  <c:v>142.18767315069738</c:v>
                </c:pt>
                <c:pt idx="93">
                  <c:v>138.92451576815776</c:v>
                </c:pt>
                <c:pt idx="94">
                  <c:v>135.53905211748381</c:v>
                </c:pt>
                <c:pt idx="95">
                  <c:v>132.02848694621059</c:v>
                </c:pt>
                <c:pt idx="96">
                  <c:v>128.38999366422419</c:v>
                </c:pt>
                <c:pt idx="97">
                  <c:v>124.62071451869912</c:v>
                </c:pt>
                <c:pt idx="98">
                  <c:v>120.71776074793094</c:v>
                </c:pt>
                <c:pt idx="99">
                  <c:v>116.67821271621884</c:v>
                </c:pt>
                <c:pt idx="100">
                  <c:v>112.49912003183107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84-4813-A682-14524C93C682}"/>
            </c:ext>
          </c:extLst>
        </c:ser>
        <c:ser>
          <c:idx val="3"/>
          <c:order val="3"/>
          <c:tx>
            <c:strRef>
              <c:f>Graphs!$E$2</c:f>
              <c:strCache>
                <c:ptCount val="1"/>
                <c:pt idx="0">
                  <c:v>Scenario 6 St1 = 0.5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Graphs!$A$3:$A$103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Graphs!$E$3:$E$103</c:f>
              <c:numCache>
                <c:formatCode>General</c:formatCode>
                <c:ptCount val="101"/>
                <c:pt idx="0">
                  <c:v>200</c:v>
                </c:pt>
                <c:pt idx="1">
                  <c:v>200.00947812632688</c:v>
                </c:pt>
                <c:pt idx="2">
                  <c:v>200.03602581172896</c:v>
                </c:pt>
                <c:pt idx="3">
                  <c:v>200.07720572715166</c:v>
                </c:pt>
                <c:pt idx="4">
                  <c:v>200.13101496090636</c:v>
                </c:pt>
                <c:pt idx="5">
                  <c:v>200.19579298678971</c:v>
                </c:pt>
                <c:pt idx="6">
                  <c:v>200.27014857861582</c:v>
                </c:pt>
                <c:pt idx="7">
                  <c:v>200.35290156714558</c:v>
                </c:pt>
                <c:pt idx="8">
                  <c:v>200.44303627036712</c:v>
                </c:pt>
                <c:pt idx="9">
                  <c:v>200.53966413966012</c:v>
                </c:pt>
                <c:pt idx="10">
                  <c:v>200.64199370834763</c:v>
                </c:pt>
                <c:pt idx="11">
                  <c:v>200.74930634676457</c:v>
                </c:pt>
                <c:pt idx="12">
                  <c:v>200.86093664994087</c:v>
                </c:pt>
                <c:pt idx="13">
                  <c:v>200.97625653322655</c:v>
                </c:pt>
                <c:pt idx="14">
                  <c:v>201.09466230487556</c:v>
                </c:pt>
                <c:pt idx="15">
                  <c:v>201.21556413571642</c:v>
                </c:pt>
                <c:pt idx="16">
                  <c:v>201.33837746438812</c:v>
                </c:pt>
                <c:pt idx="17">
                  <c:v>201.46251596966852</c:v>
                </c:pt>
                <c:pt idx="18">
                  <c:v>201.58738581487938</c:v>
                </c:pt>
                <c:pt idx="19">
                  <c:v>201.71238092758836</c:v>
                </c:pt>
                <c:pt idx="20">
                  <c:v>201.83687912423028</c:v>
                </c:pt>
                <c:pt idx="21">
                  <c:v>201.96023892646429</c:v>
                </c:pt>
                <c:pt idx="22">
                  <c:v>202.08179694612721</c:v>
                </c:pt>
                <c:pt idx="23">
                  <c:v>202.20086574017529</c:v>
                </c:pt>
                <c:pt idx="24">
                  <c:v>202.316732057336</c:v>
                </c:pt>
                <c:pt idx="25">
                  <c:v>202.42865541540368</c:v>
                </c:pt>
                <c:pt idx="26">
                  <c:v>202.53586696312573</c:v>
                </c:pt>
                <c:pt idx="27">
                  <c:v>202.63756859424302</c:v>
                </c:pt>
                <c:pt idx="28">
                  <c:v>202.73293229421179</c:v>
                </c:pt>
                <c:pt idx="29">
                  <c:v>202.82109971316237</c:v>
                </c:pt>
                <c:pt idx="30">
                  <c:v>202.90118197244882</c:v>
                </c:pt>
                <c:pt idx="31">
                  <c:v>202.97225972746128</c:v>
                </c:pt>
                <c:pt idx="32">
                  <c:v>203.03338352696318</c:v>
                </c:pt>
                <c:pt idx="33">
                  <c:v>203.08357452986439</c:v>
                </c:pt>
                <c:pt idx="34">
                  <c:v>203.12182566477713</c:v>
                </c:pt>
                <c:pt idx="35">
                  <c:v>203.14710334650195</c:v>
                </c:pt>
                <c:pt idx="36">
                  <c:v>203.15834989697976</c:v>
                </c:pt>
                <c:pt idx="37">
                  <c:v>203.15448685571184</c:v>
                </c:pt>
                <c:pt idx="38">
                  <c:v>203.13441940443039</c:v>
                </c:pt>
                <c:pt idx="39">
                  <c:v>203.09704216899365</c:v>
                </c:pt>
                <c:pt idx="40">
                  <c:v>203.04124669086224</c:v>
                </c:pt>
                <c:pt idx="41">
                  <c:v>202.96593086891781</c:v>
                </c:pt>
                <c:pt idx="42">
                  <c:v>202.87001064080374</c:v>
                </c:pt>
                <c:pt idx="43">
                  <c:v>202.75243407366457</c:v>
                </c:pt>
                <c:pt idx="44">
                  <c:v>202.61219782974538</c:v>
                </c:pt>
                <c:pt idx="45">
                  <c:v>202.44836561730639</c:v>
                </c:pt>
                <c:pt idx="46">
                  <c:v>202.26008768511096</c:v>
                </c:pt>
                <c:pt idx="47">
                  <c:v>202.04661963754899</c:v>
                </c:pt>
                <c:pt idx="48">
                  <c:v>201.80733784912042</c:v>
                </c:pt>
                <c:pt idx="49">
                  <c:v>201.54174763972406</c:v>
                </c:pt>
                <c:pt idx="50">
                  <c:v>201.24947937009154</c:v>
                </c:pt>
                <c:pt idx="51">
                  <c:v>200.93026713395727</c:v>
                </c:pt>
                <c:pt idx="52">
                  <c:v>200.58390531122967</c:v>
                </c:pt>
                <c:pt idx="53">
                  <c:v>200.21018046866956</c:v>
                </c:pt>
                <c:pt idx="54">
                  <c:v>199.80878025254378</c:v>
                </c:pt>
                <c:pt idx="55">
                  <c:v>199.37918668038981</c:v>
                </c:pt>
                <c:pt idx="56">
                  <c:v>198.92056736161624</c:v>
                </c:pt>
                <c:pt idx="57">
                  <c:v>198.43168258876861</c:v>
                </c:pt>
                <c:pt idx="58">
                  <c:v>197.91082671206561</c:v>
                </c:pt>
                <c:pt idx="59">
                  <c:v>197.35581746107664</c:v>
                </c:pt>
                <c:pt idx="60">
                  <c:v>196.76403756683413</c:v>
                </c:pt>
                <c:pt idx="61">
                  <c:v>196.13252187206291</c:v>
                </c:pt>
                <c:pt idx="62">
                  <c:v>195.45807379058351</c:v>
                </c:pt>
                <c:pt idx="63">
                  <c:v>194.73739045292476</c:v>
                </c:pt>
                <c:pt idx="64">
                  <c:v>193.96717706367028</c:v>
                </c:pt>
                <c:pt idx="65">
                  <c:v>193.14423660088602</c:v>
                </c:pt>
                <c:pt idx="66">
                  <c:v>192.26552845821152</c:v>
                </c:pt>
                <c:pt idx="67">
                  <c:v>191.3281964721784</c:v>
                </c:pt>
                <c:pt idx="68">
                  <c:v>190.32957145937991</c:v>
                </c:pt>
                <c:pt idx="69">
                  <c:v>189.26715553901397</c:v>
                </c:pt>
                <c:pt idx="70">
                  <c:v>188.13859559766342</c:v>
                </c:pt>
                <c:pt idx="71">
                  <c:v>186.94165206789137</c:v>
                </c:pt>
                <c:pt idx="72">
                  <c:v>185.67416750033283</c:v>
                </c:pt>
                <c:pt idx="73">
                  <c:v>184.33403774158697</c:v>
                </c:pt>
                <c:pt idx="74">
                  <c:v>182.91918716569518</c:v>
                </c:pt>
                <c:pt idx="75">
                  <c:v>181.42754843056451</c:v>
                </c:pt>
                <c:pt idx="76">
                  <c:v>179.85704661375749</c:v>
                </c:pt>
                <c:pt idx="77">
                  <c:v>178.20558724701135</c:v>
                </c:pt>
                <c:pt idx="78">
                  <c:v>176.47104762998174</c:v>
                </c:pt>
                <c:pt idx="79">
                  <c:v>174.65127078743626</c:v>
                </c:pt>
                <c:pt idx="80">
                  <c:v>172.74406148551049</c:v>
                </c:pt>
                <c:pt idx="81">
                  <c:v>170.74718380463673</c:v>
                </c:pt>
                <c:pt idx="82">
                  <c:v>168.65835985662537</c:v>
                </c:pt>
                <c:pt idx="83">
                  <c:v>166.47526931855313</c:v>
                </c:pt>
                <c:pt idx="84">
                  <c:v>164.19554953068229</c:v>
                </c:pt>
                <c:pt idx="85">
                  <c:v>161.81679596769004</c:v>
                </c:pt>
                <c:pt idx="86">
                  <c:v>159.33656294232696</c:v>
                </c:pt>
                <c:pt idx="87">
                  <c:v>156.75236443959619</c:v>
                </c:pt>
                <c:pt idx="88">
                  <c:v>154.06167500938361</c:v>
                </c:pt>
                <c:pt idx="89">
                  <c:v>151.26193066791001</c:v>
                </c:pt>
                <c:pt idx="90">
                  <c:v>148.35052977498253</c:v>
                </c:pt>
                <c:pt idx="91">
                  <c:v>145.32483386613083</c:v>
                </c:pt>
                <c:pt idx="92">
                  <c:v>142.18216842739437</c:v>
                </c:pt>
                <c:pt idx="93">
                  <c:v>138.91982360664659</c:v>
                </c:pt>
                <c:pt idx="94">
                  <c:v>135.53505485956057</c:v>
                </c:pt>
                <c:pt idx="95">
                  <c:v>132.02508353114777</c:v>
                </c:pt>
                <c:pt idx="96">
                  <c:v>128.38709737562249</c:v>
                </c:pt>
                <c:pt idx="97">
                  <c:v>124.61825101844425</c:v>
                </c:pt>
                <c:pt idx="98">
                  <c:v>120.71566636498397</c:v>
                </c:pt>
                <c:pt idx="99">
                  <c:v>116.67643296049874</c:v>
                </c:pt>
                <c:pt idx="100">
                  <c:v>112.49760830610563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84-4813-A682-14524C93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855616"/>
        <c:axId val="448856096"/>
      </c:lineChart>
      <c:catAx>
        <c:axId val="4488556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885609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448856096"/>
        <c:scaling>
          <c:orientation val="minMax"/>
          <c:max val="21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885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79</xdr:row>
      <xdr:rowOff>125730</xdr:rowOff>
    </xdr:from>
    <xdr:to>
      <xdr:col>12</xdr:col>
      <xdr:colOff>784860</xdr:colOff>
      <xdr:row>97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FC5238-38E8-C4D3-BC2F-E4D0E4342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81</xdr:row>
      <xdr:rowOff>76200</xdr:rowOff>
    </xdr:from>
    <xdr:to>
      <xdr:col>9</xdr:col>
      <xdr:colOff>320040</xdr:colOff>
      <xdr:row>93</xdr:row>
      <xdr:rowOff>114300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346CBC7A-3ED4-2C3F-C17A-6FBF0B9BA532}"/>
            </a:ext>
          </a:extLst>
        </xdr:cNvPr>
        <xdr:cNvCxnSpPr/>
      </xdr:nvCxnSpPr>
      <xdr:spPr>
        <a:xfrm>
          <a:off x="7025640" y="15133320"/>
          <a:ext cx="15240" cy="22326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502920</xdr:colOff>
      <xdr:row>81</xdr:row>
      <xdr:rowOff>76200</xdr:rowOff>
    </xdr:from>
    <xdr:to>
      <xdr:col>9</xdr:col>
      <xdr:colOff>518160</xdr:colOff>
      <xdr:row>93</xdr:row>
      <xdr:rowOff>114300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173A8664-B1D9-4F16-B47D-13DE323C26F8}"/>
            </a:ext>
          </a:extLst>
        </xdr:cNvPr>
        <xdr:cNvCxnSpPr/>
      </xdr:nvCxnSpPr>
      <xdr:spPr>
        <a:xfrm>
          <a:off x="7223760" y="15133320"/>
          <a:ext cx="15240" cy="2232660"/>
        </a:xfrm>
        <a:prstGeom prst="line">
          <a:avLst/>
        </a:prstGeom>
        <a:ln>
          <a:prstDash val="dash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617220</xdr:colOff>
      <xdr:row>81</xdr:row>
      <xdr:rowOff>68580</xdr:rowOff>
    </xdr:from>
    <xdr:to>
      <xdr:col>8</xdr:col>
      <xdr:colOff>632460</xdr:colOff>
      <xdr:row>93</xdr:row>
      <xdr:rowOff>106680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E738DDEB-D88A-47D3-AB55-00C77E3BBEB7}"/>
            </a:ext>
          </a:extLst>
        </xdr:cNvPr>
        <xdr:cNvCxnSpPr/>
      </xdr:nvCxnSpPr>
      <xdr:spPr>
        <a:xfrm>
          <a:off x="6545580" y="15125700"/>
          <a:ext cx="15240" cy="2232660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172453</xdr:colOff>
      <xdr:row>88</xdr:row>
      <xdr:rowOff>116305</xdr:rowOff>
    </xdr:from>
    <xdr:to>
      <xdr:col>8</xdr:col>
      <xdr:colOff>624840</xdr:colOff>
      <xdr:row>90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C8ADA9C-4CAC-3BF7-EB30-1D5D2629E0DB}"/>
            </a:ext>
          </a:extLst>
        </xdr:cNvPr>
        <xdr:cNvSpPr/>
      </xdr:nvSpPr>
      <xdr:spPr>
        <a:xfrm>
          <a:off x="6112042" y="16595558"/>
          <a:ext cx="452387" cy="290763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BE" sz="900"/>
            <a:t>36</a:t>
          </a:r>
          <a:r>
            <a:rPr lang="fr-BE" sz="900" baseline="0"/>
            <a:t>%</a:t>
          </a:r>
          <a:endParaRPr lang="fr-BE" sz="900"/>
        </a:p>
      </xdr:txBody>
    </xdr:sp>
    <xdr:clientData/>
  </xdr:twoCellAnchor>
  <xdr:twoCellAnchor>
    <xdr:from>
      <xdr:col>8</xdr:col>
      <xdr:colOff>187569</xdr:colOff>
      <xdr:row>88</xdr:row>
      <xdr:rowOff>132347</xdr:rowOff>
    </xdr:from>
    <xdr:to>
      <xdr:col>8</xdr:col>
      <xdr:colOff>609600</xdr:colOff>
      <xdr:row>90</xdr:row>
      <xdr:rowOff>20052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26E79F5-D0AD-430A-B96D-44F684498C63}"/>
            </a:ext>
          </a:extLst>
        </xdr:cNvPr>
        <xdr:cNvSpPr/>
      </xdr:nvSpPr>
      <xdr:spPr>
        <a:xfrm>
          <a:off x="6107723" y="16392255"/>
          <a:ext cx="422031" cy="251120"/>
        </a:xfrm>
        <a:prstGeom prst="rect">
          <a:avLst/>
        </a:prstGeom>
        <a:ln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BE" sz="900"/>
            <a:t>36</a:t>
          </a:r>
          <a:r>
            <a:rPr lang="fr-BE" sz="900" baseline="0"/>
            <a:t>%</a:t>
          </a:r>
          <a:endParaRPr lang="fr-BE" sz="900"/>
        </a:p>
      </xdr:txBody>
    </xdr:sp>
    <xdr:clientData/>
  </xdr:twoCellAnchor>
  <xdr:twoCellAnchor>
    <xdr:from>
      <xdr:col>9</xdr:col>
      <xdr:colOff>509337</xdr:colOff>
      <xdr:row>88</xdr:row>
      <xdr:rowOff>48116</xdr:rowOff>
    </xdr:from>
    <xdr:to>
      <xdr:col>10</xdr:col>
      <xdr:colOff>132347</xdr:colOff>
      <xdr:row>89</xdr:row>
      <xdr:rowOff>120305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1EE2631-BFD0-499D-8693-5E7F5B768695}"/>
            </a:ext>
          </a:extLst>
        </xdr:cNvPr>
        <xdr:cNvSpPr/>
      </xdr:nvSpPr>
      <xdr:spPr>
        <a:xfrm>
          <a:off x="7243011" y="16527369"/>
          <a:ext cx="417094" cy="256673"/>
        </a:xfrm>
        <a:prstGeom prst="rect">
          <a:avLst/>
        </a:prstGeom>
        <a:ln>
          <a:solidFill>
            <a:schemeClr val="accent2"/>
          </a:solidFill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BE" sz="900" baseline="0"/>
            <a:t>49%</a:t>
          </a:r>
          <a:endParaRPr lang="fr-BE" sz="900"/>
        </a:p>
      </xdr:txBody>
    </xdr:sp>
    <xdr:clientData/>
  </xdr:twoCellAnchor>
  <xdr:twoCellAnchor>
    <xdr:from>
      <xdr:col>8</xdr:col>
      <xdr:colOff>689812</xdr:colOff>
      <xdr:row>85</xdr:row>
      <xdr:rowOff>124317</xdr:rowOff>
    </xdr:from>
    <xdr:to>
      <xdr:col>9</xdr:col>
      <xdr:colOff>312821</xdr:colOff>
      <xdr:row>87</xdr:row>
      <xdr:rowOff>12022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E971125-48AD-469F-91CA-C6266222D8DE}"/>
            </a:ext>
          </a:extLst>
        </xdr:cNvPr>
        <xdr:cNvSpPr/>
      </xdr:nvSpPr>
      <xdr:spPr>
        <a:xfrm>
          <a:off x="6629401" y="16050117"/>
          <a:ext cx="417094" cy="256673"/>
        </a:xfrm>
        <a:prstGeom prst="rect">
          <a:avLst/>
        </a:prstGeom>
        <a:ln>
          <a:solidFill>
            <a:schemeClr val="accent1"/>
          </a:solidFill>
          <a:prstDash val="soli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BE" sz="900" baseline="0"/>
            <a:t>45%</a:t>
          </a:r>
          <a:endParaRPr lang="fr-BE" sz="9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969C-B44B-4167-9E6A-55DAF6C64EAD}">
  <dimension ref="A2:J103"/>
  <sheetViews>
    <sheetView zoomScaleNormal="100" workbookViewId="0"/>
  </sheetViews>
  <sheetFormatPr baseColWidth="10" defaultRowHeight="14.4" x14ac:dyDescent="0.3"/>
  <cols>
    <col min="1" max="1" width="6.21875" bestFit="1" customWidth="1"/>
  </cols>
  <sheetData>
    <row r="2" spans="1:5" ht="30" x14ac:dyDescent="0.35">
      <c r="B2" s="18" t="s">
        <v>32</v>
      </c>
      <c r="C2" s="18" t="s">
        <v>33</v>
      </c>
      <c r="D2" s="18" t="s">
        <v>34</v>
      </c>
      <c r="E2" s="18" t="s">
        <v>35</v>
      </c>
    </row>
    <row r="3" spans="1:5" x14ac:dyDescent="0.3">
      <c r="A3" s="19">
        <v>0</v>
      </c>
      <c r="B3">
        <f>'Scenario 5 - St1 0.4'!Q14</f>
        <v>197.5</v>
      </c>
      <c r="C3">
        <f>'Scenario 5 - St1 0.5'!Q14</f>
        <v>196.5</v>
      </c>
      <c r="D3">
        <f>'Scenario 6 - St1 0.4'!Q14</f>
        <v>200</v>
      </c>
      <c r="E3">
        <f>'Scenario 6 - St1 0.5'!Q14</f>
        <v>200</v>
      </c>
    </row>
    <row r="4" spans="1:5" x14ac:dyDescent="0.3">
      <c r="A4" s="19">
        <v>0.01</v>
      </c>
      <c r="B4">
        <f>'Scenario 5 - St1 0.4'!Q15</f>
        <v>197.50980395189961</v>
      </c>
      <c r="C4">
        <f>'Scenario 5 - St1 0.5'!Q15</f>
        <v>196.50983145454828</v>
      </c>
      <c r="D4">
        <f>'Scenario 6 - St1 0.4'!Q15</f>
        <v>200.00947800452343</v>
      </c>
      <c r="E4">
        <f>'Scenario 6 - St1 0.5'!Q15</f>
        <v>200.00947812632688</v>
      </c>
    </row>
    <row r="5" spans="1:5" x14ac:dyDescent="0.3">
      <c r="A5" s="19">
        <f>A4+0.01</f>
        <v>0.02</v>
      </c>
      <c r="B5">
        <f>'Scenario 5 - St1 0.4'!Q16</f>
        <v>197.53848381590663</v>
      </c>
      <c r="C5">
        <f>'Scenario 5 - St1 0.5'!Q16</f>
        <v>196.5386944998298</v>
      </c>
      <c r="D5">
        <f>'Scenario 6 - St1 0.4'!Q16</f>
        <v>200.03602526524995</v>
      </c>
      <c r="E5">
        <f>'Scenario 6 - St1 0.5'!Q16</f>
        <v>200.03602581172896</v>
      </c>
    </row>
    <row r="6" spans="1:5" x14ac:dyDescent="0.3">
      <c r="A6" s="19">
        <f t="shared" ref="A6:A69" si="0">A5+0.01</f>
        <v>0.03</v>
      </c>
      <c r="B6">
        <f>'Scenario 5 - St1 0.4'!Q17</f>
        <v>197.58504637541557</v>
      </c>
      <c r="C6">
        <f>'Scenario 5 - St1 0.5'!Q17</f>
        <v>196.58572912585987</v>
      </c>
      <c r="D6">
        <f>'Scenario 6 - St1 0.4'!Q17</f>
        <v>200.07720434574838</v>
      </c>
      <c r="E6">
        <f>'Scenario 6 - St1 0.5'!Q17</f>
        <v>200.07720572715166</v>
      </c>
    </row>
    <row r="7" spans="1:5" x14ac:dyDescent="0.3">
      <c r="A7" s="19">
        <f t="shared" si="0"/>
        <v>0.04</v>
      </c>
      <c r="B7">
        <f>'Scenario 5 - St1 0.4'!Q18</f>
        <v>197.64862029582235</v>
      </c>
      <c r="C7">
        <f>'Scenario 5 - St1 0.5'!Q18</f>
        <v>196.65017696448535</v>
      </c>
      <c r="D7">
        <f>'Scenario 6 - St1 0.4'!Q18</f>
        <v>200.13101219766224</v>
      </c>
      <c r="E7">
        <f>'Scenario 6 - St1 0.5'!Q18</f>
        <v>200.13101496090636</v>
      </c>
    </row>
    <row r="8" spans="1:5" x14ac:dyDescent="0.3">
      <c r="A8" s="19">
        <f t="shared" si="0"/>
        <v>0.05</v>
      </c>
      <c r="B8">
        <f>'Scenario 5 - St1 0.4'!Q19</f>
        <v>197.7284365948843</v>
      </c>
      <c r="C8">
        <f>'Scenario 5 - St1 0.5'!Q19</f>
        <v>196.7313655075713</v>
      </c>
      <c r="D8">
        <f>'Scenario 6 - St1 0.4'!Q19</f>
        <v>200.19578812198597</v>
      </c>
      <c r="E8">
        <f>'Scenario 6 - St1 0.5'!Q19</f>
        <v>200.19579298678971</v>
      </c>
    </row>
    <row r="9" spans="1:5" x14ac:dyDescent="0.3">
      <c r="A9" s="19">
        <f t="shared" si="0"/>
        <v>6.0000000000000005E-2</v>
      </c>
      <c r="B9">
        <f>'Scenario 5 - St1 0.4'!Q20</f>
        <v>197.82381195150529</v>
      </c>
      <c r="C9">
        <f>'Scenario 5 - St1 0.5'!Q20</f>
        <v>196.82869453242057</v>
      </c>
      <c r="D9">
        <f>'Scenario 6 - St1 0.4'!Q20</f>
        <v>200.27014067532679</v>
      </c>
      <c r="E9">
        <f>'Scenario 6 - St1 0.5'!Q20</f>
        <v>200.27014857861582</v>
      </c>
    </row>
    <row r="10" spans="1:5" x14ac:dyDescent="0.3">
      <c r="A10" s="19">
        <f t="shared" si="0"/>
        <v>7.0000000000000007E-2</v>
      </c>
      <c r="B10">
        <f>'Scenario 5 - St1 0.4'!Q21</f>
        <v>197.93413440860229</v>
      </c>
      <c r="C10">
        <f>'Scenario 5 - St1 0.5'!Q21</f>
        <v>196.94162440582957</v>
      </c>
      <c r="D10">
        <f>'Scenario 6 - St1 0.4'!Q21</f>
        <v>200.35288941688</v>
      </c>
      <c r="E10">
        <f>'Scenario 6 - St1 0.5'!Q21</f>
        <v>200.35290156714558</v>
      </c>
    </row>
    <row r="11" spans="1:5" x14ac:dyDescent="0.3">
      <c r="A11" s="19">
        <f t="shared" si="0"/>
        <v>0.08</v>
      </c>
      <c r="B11">
        <f>'Scenario 5 - St1 0.4'!Q22</f>
        <v>198.05885109717605</v>
      </c>
      <c r="C11">
        <f>'Scenario 5 - St1 0.5'!Q22</f>
        <v>197.0696659892848</v>
      </c>
      <c r="D11">
        <f>'Scenario 6 - St1 0.4'!Q22</f>
        <v>200.44301832677883</v>
      </c>
      <c r="E11">
        <f>'Scenario 6 - St1 0.5'!Q22</f>
        <v>200.44303627036712</v>
      </c>
    </row>
    <row r="12" spans="1:5" x14ac:dyDescent="0.3">
      <c r="A12" s="19">
        <f t="shared" si="0"/>
        <v>0.09</v>
      </c>
      <c r="B12">
        <f>'Scenario 5 - St1 0.4'!Q23</f>
        <v>198.19745766710955</v>
      </c>
      <c r="C12">
        <f>'Scenario 5 - St1 0.5'!Q23</f>
        <v>197.21237191010178</v>
      </c>
      <c r="D12">
        <f>'Scenario 6 - St1 0.4'!Q23</f>
        <v>200.53963843802575</v>
      </c>
      <c r="E12">
        <f>'Scenario 6 - St1 0.5'!Q23</f>
        <v>200.53966413966012</v>
      </c>
    </row>
    <row r="13" spans="1:5" x14ac:dyDescent="0.3">
      <c r="A13" s="19">
        <f t="shared" si="0"/>
        <v>9.9999999999999992E-2</v>
      </c>
      <c r="B13">
        <f>'Scenario 5 - St1 0.4'!Q24</f>
        <v>198.3494891578278</v>
      </c>
      <c r="C13">
        <f>'Scenario 5 - St1 0.5'!Q24</f>
        <v>197.36932899830427</v>
      </c>
      <c r="D13">
        <f>'Scenario 6 - St1 0.4'!Q24</f>
        <v>200.64195776814682</v>
      </c>
      <c r="E13">
        <f>'Scenario 6 - St1 0.5'!Q24</f>
        <v>200.64199370834763</v>
      </c>
    </row>
    <row r="14" spans="1:5" x14ac:dyDescent="0.3">
      <c r="A14" s="19">
        <f t="shared" si="0"/>
        <v>0.10999999999999999</v>
      </c>
      <c r="B14">
        <f>'Scenario 5 - St1 0.4'!Q25</f>
        <v>198.51451208055579</v>
      </c>
      <c r="C14">
        <f>'Scenario 5 - St1 0.5'!Q25</f>
        <v>197.54015171794674</v>
      </c>
      <c r="D14">
        <f>'Scenario 6 - St1 0.4'!Q25</f>
        <v>200.74925705431008</v>
      </c>
      <c r="E14">
        <f>'Scenario 6 - St1 0.5'!Q25</f>
        <v>200.74930634676457</v>
      </c>
    </row>
    <row r="15" spans="1:5" x14ac:dyDescent="0.3">
      <c r="A15" s="19">
        <f t="shared" si="0"/>
        <v>0.11999999999999998</v>
      </c>
      <c r="B15">
        <f>'Scenario 5 - St1 0.4'!Q26</f>
        <v>198.69211751489323</v>
      </c>
      <c r="C15">
        <f>'Scenario 5 - St1 0.5'!Q26</f>
        <v>197.72447644535413</v>
      </c>
      <c r="D15">
        <f>'Scenario 6 - St1 0.4'!Q26</f>
        <v>200.86087011759574</v>
      </c>
      <c r="E15">
        <f>'Scenario 6 - St1 0.5'!Q26</f>
        <v>200.86093664994087</v>
      </c>
    </row>
    <row r="16" spans="1:5" x14ac:dyDescent="0.3">
      <c r="A16" s="19">
        <f t="shared" si="0"/>
        <v>0.12999999999999998</v>
      </c>
      <c r="B16">
        <f>'Scenario 5 - St1 0.4'!Q27</f>
        <v>198.88191504683732</v>
      </c>
      <c r="C16">
        <f>'Scenario 5 - St1 0.5'!Q27</f>
        <v>197.92195646614638</v>
      </c>
      <c r="D16">
        <f>'Scenario 6 - St1 0.4'!Q27</f>
        <v>200.97616793133611</v>
      </c>
      <c r="E16">
        <f>'Scenario 6 - St1 0.5'!Q27</f>
        <v>200.97625653322655</v>
      </c>
    </row>
    <row r="17" spans="1:5" x14ac:dyDescent="0.3">
      <c r="A17" s="19">
        <f t="shared" si="0"/>
        <v>0.13999999999999999</v>
      </c>
      <c r="B17">
        <f>'Scenario 5 - St1 0.4'!Q28</f>
        <v>199.08352739398492</v>
      </c>
      <c r="C17">
        <f>'Scenario 5 - St1 0.5'!Q28</f>
        <v>198.13225757850512</v>
      </c>
      <c r="D17">
        <f>'Scenario 6 - St1 0.4'!Q28</f>
        <v>201.09454566215231</v>
      </c>
      <c r="E17">
        <f>'Scenario 6 - St1 0.5'!Q28</f>
        <v>201.09466230487556</v>
      </c>
    </row>
    <row r="18" spans="1:5" x14ac:dyDescent="0.3">
      <c r="A18" s="19">
        <f t="shared" si="0"/>
        <v>0.15</v>
      </c>
      <c r="B18">
        <f>'Scenario 5 - St1 0.4'!Q29</f>
        <v>199.29658557695265</v>
      </c>
      <c r="C18">
        <f>'Scenario 5 - St1 0.5'!Q29</f>
        <v>198.35505420235668</v>
      </c>
      <c r="D18">
        <f>'Scenario 6 - St1 0.4'!Q29</f>
        <v>201.2154121034942</v>
      </c>
      <c r="E18">
        <f>'Scenario 6 - St1 0.5'!Q29</f>
        <v>201.21556413571642</v>
      </c>
    </row>
    <row r="19" spans="1:5" x14ac:dyDescent="0.3">
      <c r="A19" s="19">
        <f t="shared" si="0"/>
        <v>0.16</v>
      </c>
      <c r="B19">
        <f>'Scenario 5 - St1 0.4'!Q30</f>
        <v>199.52072450433596</v>
      </c>
      <c r="C19">
        <f>'Scenario 5 - St1 0.5'!Q30</f>
        <v>198.59002590327728</v>
      </c>
      <c r="D19">
        <f>'Scenario 6 - St1 0.4'!Q30</f>
        <v>201.33818103996049</v>
      </c>
      <c r="E19">
        <f>'Scenario 6 - St1 0.5'!Q30</f>
        <v>201.33837746438812</v>
      </c>
    </row>
    <row r="20" spans="1:5" x14ac:dyDescent="0.3">
      <c r="A20" s="19">
        <f t="shared" si="0"/>
        <v>0.17</v>
      </c>
      <c r="B20">
        <f>'Scenario 5 - St1 0.4'!Q31</f>
        <v>199.75557884185517</v>
      </c>
      <c r="C20">
        <f>'Scenario 5 - St1 0.5'!Q31</f>
        <v>198.83685424613495</v>
      </c>
      <c r="D20">
        <f>'Scenario 6 - St1 0.4'!Q31</f>
        <v>201.46226417393609</v>
      </c>
      <c r="E20">
        <f>'Scenario 6 - St1 0.5'!Q31</f>
        <v>201.46251596966852</v>
      </c>
    </row>
    <row r="21" spans="1:5" x14ac:dyDescent="0.3">
      <c r="A21" s="19">
        <f t="shared" si="0"/>
        <v>0.18000000000000002</v>
      </c>
      <c r="B21">
        <f>'Scenario 5 - St1 0.4'!Q32</f>
        <v>200.0007790345374</v>
      </c>
      <c r="C21">
        <f>'Scenario 5 - St1 0.5'!Q32</f>
        <v>199.09521989681301</v>
      </c>
      <c r="D21">
        <f>'Scenario 6 - St1 0.4'!Q32</f>
        <v>201.58706531987019</v>
      </c>
      <c r="E21">
        <f>'Scenario 6 - St1 0.5'!Q32</f>
        <v>201.58738581487938</v>
      </c>
    </row>
    <row r="22" spans="1:5" x14ac:dyDescent="0.3">
      <c r="A22" s="19">
        <f t="shared" si="0"/>
        <v>0.19000000000000003</v>
      </c>
      <c r="B22">
        <f>'Scenario 5 - St1 0.4'!Q33</f>
        <v>200.25594734348243</v>
      </c>
      <c r="C22">
        <f>'Scenario 5 - St1 0.5'!Q33</f>
        <v>199.36479989071398</v>
      </c>
      <c r="D22">
        <f>'Scenario 6 - St1 0.4'!Q33</f>
        <v>201.71197563025541</v>
      </c>
      <c r="E22">
        <f>'Scenario 6 - St1 0.5'!Q33</f>
        <v>201.71238092758836</v>
      </c>
    </row>
    <row r="23" spans="1:5" x14ac:dyDescent="0.3">
      <c r="A23" s="19">
        <f t="shared" si="0"/>
        <v>0.20000000000000004</v>
      </c>
      <c r="B23">
        <f>'Scenario 5 - St1 0.4'!Q34</f>
        <v>200.52069374533889</v>
      </c>
      <c r="C23">
        <f>'Scenario 5 - St1 0.5'!Q34</f>
        <v>199.64526498390845</v>
      </c>
      <c r="D23">
        <f>'Scenario 6 - St1 0.4'!Q34</f>
        <v>201.836369664507</v>
      </c>
      <c r="E23">
        <f>'Scenario 6 - St1 0.5'!Q34</f>
        <v>201.83687912423028</v>
      </c>
    </row>
    <row r="24" spans="1:5" x14ac:dyDescent="0.3">
      <c r="A24" s="19">
        <f t="shared" si="0"/>
        <v>0.21000000000000005</v>
      </c>
      <c r="B24">
        <f>'Scenario 5 - St1 0.4'!Q35</f>
        <v>200.79461152221023</v>
      </c>
      <c r="C24">
        <f>'Scenario 5 - St1 0.5'!Q35</f>
        <v>199.93627699639009</v>
      </c>
      <c r="D24">
        <f>'Scenario 6 - St1 0.4'!Q35</f>
        <v>201.95960215018783</v>
      </c>
      <c r="E24">
        <f>'Scenario 6 - St1 0.5'!Q35</f>
        <v>201.96023892646429</v>
      </c>
    </row>
    <row r="25" spans="1:5" x14ac:dyDescent="0.3">
      <c r="A25" s="19">
        <f t="shared" si="0"/>
        <v>0.22000000000000006</v>
      </c>
      <c r="B25">
        <f>'Scenario 5 - St1 0.4'!Q36</f>
        <v>201.07727234121393</v>
      </c>
      <c r="C25">
        <f>'Scenario 5 - St1 0.5'!Q36</f>
        <v>200.23748604639178</v>
      </c>
      <c r="D25">
        <f>'Scenario 6 - St1 0.4'!Q36</f>
        <v>202.081005317559</v>
      </c>
      <c r="E25">
        <f>'Scenario 6 - St1 0.5'!Q36</f>
        <v>202.08179694612721</v>
      </c>
    </row>
    <row r="26" spans="1:5" x14ac:dyDescent="0.3">
      <c r="A26" s="19">
        <f t="shared" si="0"/>
        <v>0.23000000000000007</v>
      </c>
      <c r="B26">
        <f>'Scenario 5 - St1 0.4'!Q37</f>
        <v>201.36822058496952</v>
      </c>
      <c r="C26">
        <f>'Scenario 5 - St1 0.5'!Q37</f>
        <v>200.5485275593777</v>
      </c>
      <c r="D26">
        <f>'Scenario 6 - St1 0.4'!Q37</f>
        <v>202.19988671503143</v>
      </c>
      <c r="E26">
        <f>'Scenario 6 - St1 0.5'!Q37</f>
        <v>202.20086574017529</v>
      </c>
    </row>
    <row r="27" spans="1:5" x14ac:dyDescent="0.3">
      <c r="A27" s="19">
        <f t="shared" si="0"/>
        <v>0.24000000000000007</v>
      </c>
      <c r="B27">
        <f>'Scenario 5 - St1 0.4'!Q38</f>
        <v>201.6669666453285</v>
      </c>
      <c r="C27">
        <f>'Scenario 5 - St1 0.5'!Q38</f>
        <v>200.86901891420013</v>
      </c>
      <c r="D27">
        <f>'Scenario 6 - St1 0.4'!Q38</f>
        <v>202.31552743625127</v>
      </c>
      <c r="E27">
        <f>'Scenario 6 - St1 0.5'!Q38</f>
        <v>202.316732057336</v>
      </c>
    </row>
    <row r="28" spans="1:5" x14ac:dyDescent="0.3">
      <c r="A28" s="19">
        <f t="shared" si="0"/>
        <v>0.25000000000000006</v>
      </c>
      <c r="B28">
        <f>'Scenario 5 - St1 0.4'!Q39</f>
        <v>201.97297883099418</v>
      </c>
      <c r="C28">
        <f>'Scenario 5 - St1 0.5'!Q39</f>
        <v>201.19855556080392</v>
      </c>
      <c r="D28">
        <f>'Scenario 6 - St1 0.4'!Q39</f>
        <v>202.42718071058977</v>
      </c>
      <c r="E28">
        <f>'Scenario 6 - St1 0.5'!Q39</f>
        <v>202.42865541540368</v>
      </c>
    </row>
    <row r="29" spans="1:5" x14ac:dyDescent="0.3">
      <c r="A29" s="19">
        <f t="shared" si="0"/>
        <v>0.26000000000000006</v>
      </c>
      <c r="B29">
        <f>'Scenario 5 - St1 0.4'!Q40</f>
        <v>202.28567346367527</v>
      </c>
      <c r="C29">
        <f>'Scenario 5 - St1 0.5'!Q40</f>
        <v>201.53670640730323</v>
      </c>
      <c r="D29">
        <f>'Scenario 6 - St1 0.4'!Q40</f>
        <v>202.53407082892221</v>
      </c>
      <c r="E29">
        <f>'Scenario 6 - St1 0.5'!Q40</f>
        <v>202.53586696312573</v>
      </c>
    </row>
    <row r="30" spans="1:5" x14ac:dyDescent="0.3">
      <c r="A30" s="19">
        <f t="shared" si="0"/>
        <v>0.27000000000000007</v>
      </c>
      <c r="B30">
        <f>'Scenario 5 - St1 0.4'!Q41</f>
        <v>202.60440264580899</v>
      </c>
      <c r="C30">
        <f>'Scenario 5 - St1 0.5'!Q41</f>
        <v>201.88300822747775</v>
      </c>
      <c r="D30">
        <f>'Scenario 6 - St1 0.4'!Q41</f>
        <v>202.63539239691684</v>
      </c>
      <c r="E30">
        <f>'Scenario 6 - St1 0.5'!Q41</f>
        <v>202.63756859424302</v>
      </c>
    </row>
    <row r="31" spans="1:5" x14ac:dyDescent="0.3">
      <c r="A31" s="19">
        <f t="shared" si="0"/>
        <v>0.28000000000000008</v>
      </c>
      <c r="B31">
        <f>'Scenario 5 - St1 0.4'!Q42</f>
        <v>202.92843907533918</v>
      </c>
      <c r="C31">
        <f>'Scenario 5 - St1 0.5'!Q42</f>
        <v>202.23695878069481</v>
      </c>
      <c r="D31">
        <f>'Scenario 6 - St1 0.4'!Q42</f>
        <v>202.7303099297236</v>
      </c>
      <c r="E31">
        <f>'Scenario 6 - St1 0.5'!Q42</f>
        <v>202.73293229421179</v>
      </c>
    </row>
    <row r="32" spans="1:5" x14ac:dyDescent="0.3">
      <c r="A32" s="19">
        <f t="shared" si="0"/>
        <v>0.29000000000000009</v>
      </c>
      <c r="B32">
        <f>'Scenario 5 - St1 0.4'!Q43</f>
        <v>203.2569571610216</v>
      </c>
      <c r="C32">
        <f>'Scenario 5 - St1 0.5'!Q43</f>
        <v>202.59800826266979</v>
      </c>
      <c r="D32">
        <f>'Scenario 6 - St1 0.4'!Q43</f>
        <v>202.81795782605252</v>
      </c>
      <c r="E32">
        <f>'Scenario 6 - St1 0.5'!Q43</f>
        <v>202.82109971316237</v>
      </c>
    </row>
    <row r="33" spans="1:10" x14ac:dyDescent="0.3">
      <c r="A33" s="19">
        <f t="shared" si="0"/>
        <v>0.3000000000000001</v>
      </c>
      <c r="B33">
        <f>'Scenario 5 - St1 0.4'!Q44</f>
        <v>203.58900955996859</v>
      </c>
      <c r="C33">
        <f>'Scenario 5 - St1 0.5'!Q44</f>
        <v>202.96554861494235</v>
      </c>
      <c r="D33">
        <f>'Scenario 6 - St1 0.4'!Q44</f>
        <v>202.89744078719514</v>
      </c>
      <c r="E33">
        <f>'Scenario 6 - St1 0.5'!Q44</f>
        <v>202.90118197244882</v>
      </c>
    </row>
    <row r="34" spans="1:10" x14ac:dyDescent="0.3">
      <c r="A34" s="19">
        <f t="shared" si="0"/>
        <v>0.31000000000000011</v>
      </c>
      <c r="B34">
        <f>'Scenario 5 - St1 0.4'!Q45</f>
        <v>203.92349812774376</v>
      </c>
      <c r="C34">
        <f>'Scenario 5 - St1 0.5'!Q45</f>
        <v>203.33890011121935</v>
      </c>
      <c r="D34">
        <f>'Scenario 6 - St1 0.4'!Q45</f>
        <v>202.96783477843641</v>
      </c>
      <c r="E34">
        <f>'Scenario 6 - St1 0.5'!Q45</f>
        <v>202.97225972746128</v>
      </c>
    </row>
    <row r="35" spans="1:10" x14ac:dyDescent="0.3">
      <c r="A35" s="19">
        <f t="shared" si="0"/>
        <v>0.32000000000000012</v>
      </c>
      <c r="B35">
        <f>'Scenario 5 - St1 0.4'!Q46</f>
        <v>204.259138158914</v>
      </c>
      <c r="C35">
        <f>'Scenario 5 - St1 0.5'!Q46</f>
        <v>203.71729450819612</v>
      </c>
      <c r="D35">
        <f>'Scenario 6 - St1 0.4'!Q46</f>
        <v>203.02818866701625</v>
      </c>
      <c r="E35">
        <f>'Scenario 6 - St1 0.5'!Q46</f>
        <v>203.03338352696318</v>
      </c>
    </row>
    <row r="36" spans="1:10" x14ac:dyDescent="0.3">
      <c r="A36" s="19">
        <f t="shared" si="0"/>
        <v>0.33000000000000013</v>
      </c>
      <c r="B36">
        <f>'Scenario 5 - St1 0.4'!Q47</f>
        <v>204.59441473415373</v>
      </c>
      <c r="C36">
        <f>'Scenario 5 - St1 0.5'!Q47</f>
        <v>204.09985389689385</v>
      </c>
      <c r="D36">
        <f>'Scenario 6 - St1 0.4'!Q47</f>
        <v>203.07752671205276</v>
      </c>
      <c r="E36">
        <f>'Scenario 6 - St1 0.5'!Q47</f>
        <v>203.08357452986439</v>
      </c>
    </row>
    <row r="37" spans="1:10" x14ac:dyDescent="0.3">
      <c r="A37" s="19">
        <f t="shared" si="0"/>
        <v>0.34000000000000014</v>
      </c>
      <c r="B37">
        <f>'Scenario 5 - St1 0.4'!Q48</f>
        <v>204.92753002916243</v>
      </c>
      <c r="C37">
        <f>'Scenario 5 - St1 0.5'!Q48</f>
        <v>204.48556422043657</v>
      </c>
      <c r="D37">
        <f>'Scenario 6 - St1 0.4'!Q48</f>
        <v>203.1148521259764</v>
      </c>
      <c r="E37">
        <f>'Scenario 6 - St1 0.5'!Q48</f>
        <v>203.12182566477713</v>
      </c>
    </row>
    <row r="38" spans="1:10" ht="15" thickBot="1" x14ac:dyDescent="0.35">
      <c r="A38" s="19">
        <f t="shared" si="0"/>
        <v>0.35000000000000014</v>
      </c>
      <c r="B38">
        <f>'Scenario 5 - St1 0.4'!Q49</f>
        <v>205.25634065714706</v>
      </c>
      <c r="C38">
        <f>'Scenario 5 - St1 0.5'!Q49</f>
        <v>204.87324224275463</v>
      </c>
      <c r="D38">
        <f>'Scenario 6 - St1 0.4'!Q49</f>
        <v>203.13915197006168</v>
      </c>
      <c r="E38">
        <f>'Scenario 6 - St1 0.5'!Q49</f>
        <v>203.14710334650195</v>
      </c>
    </row>
    <row r="39" spans="1:10" ht="15" thickBot="1" x14ac:dyDescent="0.35">
      <c r="A39" s="22">
        <f t="shared" si="0"/>
        <v>0.36000000000000015</v>
      </c>
      <c r="B39">
        <f>'Scenario 5 - St1 0.4'!Q50</f>
        <v>205.57828462028272</v>
      </c>
      <c r="C39">
        <f>'Scenario 5 - St1 0.5'!Q50</f>
        <v>205.26149457495848</v>
      </c>
      <c r="D39" s="21">
        <f>'Scenario 6 - St1 0.4'!Q50</f>
        <v>203.14940368092616</v>
      </c>
      <c r="E39" s="21">
        <f>'Scenario 6 - St1 0.5'!Q50</f>
        <v>203.15834989697976</v>
      </c>
    </row>
    <row r="40" spans="1:10" x14ac:dyDescent="0.3">
      <c r="A40" s="19">
        <f t="shared" si="0"/>
        <v>0.37000000000000016</v>
      </c>
      <c r="B40">
        <f>'Scenario 5 - St1 0.4'!Q51</f>
        <v>205.89029838550749</v>
      </c>
      <c r="C40">
        <f>'Scenario 5 - St1 0.5'!Q51</f>
        <v>205.64866721934018</v>
      </c>
      <c r="D40">
        <f>'Scenario 6 - St1 0.4'!Q51</f>
        <v>203.14458353728105</v>
      </c>
      <c r="E40">
        <f>'Scenario 6 - St1 0.5'!Q51</f>
        <v>203.15448685571184</v>
      </c>
    </row>
    <row r="41" spans="1:10" x14ac:dyDescent="0.3">
      <c r="A41" s="19">
        <f t="shared" si="0"/>
        <v>0.38000000000000017</v>
      </c>
      <c r="B41">
        <f>'Scenario 5 - St1 0.4'!Q52</f>
        <v>206.18872616374088</v>
      </c>
      <c r="C41">
        <f>'Scenario 5 - St1 0.5'!Q52</f>
        <v>206.03278402084925</v>
      </c>
      <c r="D41">
        <f>'Scenario 6 - St1 0.4'!Q52</f>
        <v>203.12367734618226</v>
      </c>
      <c r="E41">
        <f>'Scenario 6 - St1 0.5'!Q52</f>
        <v>203.13441940443039</v>
      </c>
    </row>
    <row r="42" spans="1:10" x14ac:dyDescent="0.3">
      <c r="A42" s="19">
        <f t="shared" si="0"/>
        <v>0.39000000000000018</v>
      </c>
      <c r="B42">
        <f>'Scenario 5 - St1 0.4'!Q53</f>
        <v>206.4692258692692</v>
      </c>
      <c r="C42">
        <f>'Scenario 5 - St1 0.5'!Q53</f>
        <v>206.41147249480863</v>
      </c>
      <c r="D42">
        <f>'Scenario 6 - St1 0.4'!Q53</f>
        <v>203.08569352567557</v>
      </c>
      <c r="E42">
        <f>'Scenario 6 - St1 0.5'!Q53</f>
        <v>203.09704216899365</v>
      </c>
    </row>
    <row r="43" spans="1:10" x14ac:dyDescent="0.3">
      <c r="A43" s="19">
        <f t="shared" si="0"/>
        <v>0.40000000000000019</v>
      </c>
      <c r="B43">
        <f>'Scenario 5 - St1 0.4'!Q54</f>
        <v>206.72667965641318</v>
      </c>
      <c r="C43">
        <f>'Scenario 5 - St1 0.5'!Q54</f>
        <v>206.78187583643202</v>
      </c>
      <c r="D43">
        <f>'Scenario 6 - St1 0.4'!Q54</f>
        <v>203.02967854651121</v>
      </c>
      <c r="E43">
        <f>'Scenario 6 - St1 0.5'!Q54</f>
        <v>203.04124669086224</v>
      </c>
    </row>
    <row r="44" spans="1:10" x14ac:dyDescent="0.3">
      <c r="A44" s="19">
        <f t="shared" si="0"/>
        <v>0.4100000000000002</v>
      </c>
      <c r="B44">
        <f>'Scenario 5 - St1 0.4'!Q55</f>
        <v>206.95512145176218</v>
      </c>
      <c r="C44">
        <f>'Scenario 5 - St1 0.5'!Q55</f>
        <v>207.14055066800191</v>
      </c>
      <c r="D44">
        <f>'Scenario 6 - St1 0.4'!Q55</f>
        <v>202.95473432337627</v>
      </c>
      <c r="E44">
        <f>'Scenario 6 - St1 0.5'!Q55</f>
        <v>202.96593086891781</v>
      </c>
    </row>
    <row r="45" spans="1:10" x14ac:dyDescent="0.3">
      <c r="A45" s="19">
        <f t="shared" si="0"/>
        <v>0.42000000000000021</v>
      </c>
      <c r="B45">
        <f>'Scenario 5 - St1 0.4'!Q56</f>
        <v>207.1476993378817</v>
      </c>
      <c r="C45">
        <f>'Scenario 5 - St1 0.5'!Q56</f>
        <v>207.48335145311466</v>
      </c>
      <c r="D45">
        <f>'Scenario 6 - St1 0.4'!Q56</f>
        <v>202.86003657286031</v>
      </c>
      <c r="E45">
        <f>'Scenario 6 - St1 0.5'!Q56</f>
        <v>202.87001064080374</v>
      </c>
      <c r="J45" s="2"/>
    </row>
    <row r="46" spans="1:10" x14ac:dyDescent="0.3">
      <c r="A46" s="19">
        <f t="shared" si="0"/>
        <v>0.43000000000000022</v>
      </c>
      <c r="B46">
        <f>'Scenario 5 - St1 0.4'!Q57</f>
        <v>207.29669633423177</v>
      </c>
      <c r="C46">
        <f>'Scenario 5 - St1 0.5'!Q57</f>
        <v>207.80530476572645</v>
      </c>
      <c r="D46">
        <f>'Scenario 6 - St1 0.4'!Q57</f>
        <v>202.74485236164026</v>
      </c>
      <c r="E46">
        <f>'Scenario 6 - St1 0.5'!Q57</f>
        <v>202.75243407366457</v>
      </c>
    </row>
    <row r="47" spans="1:10" ht="15" thickBot="1" x14ac:dyDescent="0.35">
      <c r="A47" s="19">
        <f t="shared" si="0"/>
        <v>0.44000000000000022</v>
      </c>
      <c r="B47">
        <f>'Scenario 5 - St1 0.4'!Q58</f>
        <v>207.39363767029963</v>
      </c>
      <c r="C47">
        <f>'Scenario 5 - St1 0.5'!Q58</f>
        <v>208.10048003415199</v>
      </c>
      <c r="D47">
        <f>'Scenario 6 - St1 0.4'!Q58</f>
        <v>202.60855409185788</v>
      </c>
      <c r="E47">
        <f>'Scenario 6 - St1 0.5'!Q58</f>
        <v>202.61219782974538</v>
      </c>
    </row>
    <row r="48" spans="1:10" ht="15" thickBot="1" x14ac:dyDescent="0.35">
      <c r="A48" s="20">
        <f t="shared" si="0"/>
        <v>0.45000000000000023</v>
      </c>
      <c r="B48" s="21">
        <f>'Scenario 5 - St1 0.4'!Q59</f>
        <v>207.42951376107146</v>
      </c>
      <c r="C48">
        <f>'Scenario 5 - St1 0.5'!Q59</f>
        <v>208.36186823957172</v>
      </c>
      <c r="D48">
        <f>'Scenario 6 - St1 0.4'!Q59</f>
        <v>202.45062615106414</v>
      </c>
      <c r="E48">
        <f>'Scenario 6 - St1 0.5'!Q59</f>
        <v>202.44836561730639</v>
      </c>
    </row>
    <row r="49" spans="1:5" x14ac:dyDescent="0.3">
      <c r="A49" s="19">
        <f t="shared" si="0"/>
        <v>0.46000000000000024</v>
      </c>
      <c r="B49">
        <f>'Scenario 5 - St1 0.4'!Q60</f>
        <v>207.39514269414957</v>
      </c>
      <c r="C49">
        <f>'Scenario 5 - St1 0.5'!Q60</f>
        <v>208.58128642303683</v>
      </c>
      <c r="D49">
        <f>'Scenario 6 - St1 0.4'!Q60</f>
        <v>202.27065967512186</v>
      </c>
      <c r="E49">
        <f>'Scenario 6 - St1 0.5'!Q60</f>
        <v>202.26008768511096</v>
      </c>
    </row>
    <row r="50" spans="1:5" x14ac:dyDescent="0.3">
      <c r="A50" s="19">
        <f t="shared" si="0"/>
        <v>0.47000000000000025</v>
      </c>
      <c r="B50">
        <f>'Scenario 5 - St1 0.4'!Q61</f>
        <v>207.28168093433948</v>
      </c>
      <c r="C50">
        <f>'Scenario 5 - St1 0.5'!Q61</f>
        <v>208.7493334521665</v>
      </c>
      <c r="D50">
        <f>'Scenario 6 - St1 0.4'!Q61</f>
        <v>202.06833077012885</v>
      </c>
      <c r="E50">
        <f>'Scenario 6 - St1 0.5'!Q61</f>
        <v>202.04661963754899</v>
      </c>
    </row>
    <row r="51" spans="1:5" ht="15" thickBot="1" x14ac:dyDescent="0.35">
      <c r="A51" s="19">
        <f t="shared" si="0"/>
        <v>0.48000000000000026</v>
      </c>
      <c r="B51">
        <f>'Scenario 5 - St1 0.4'!Q62</f>
        <v>207.08126433031907</v>
      </c>
      <c r="C51">
        <f>'Scenario 5 - St1 0.5'!Q62</f>
        <v>208.85543034084586</v>
      </c>
      <c r="D51">
        <f>'Scenario 6 - St1 0.4'!Q62</f>
        <v>201.84335863028483</v>
      </c>
      <c r="E51">
        <f>'Scenario 6 - St1 0.5'!Q62</f>
        <v>201.80733784912042</v>
      </c>
    </row>
    <row r="52" spans="1:5" ht="15" thickBot="1" x14ac:dyDescent="0.35">
      <c r="A52" s="22">
        <f t="shared" si="0"/>
        <v>0.49000000000000027</v>
      </c>
      <c r="B52">
        <f>'Scenario 5 - St1 0.4'!Q63</f>
        <v>206.78772505834826</v>
      </c>
      <c r="C52" s="21">
        <f>'Scenario 5 - St1 0.5'!Q63</f>
        <v>208.88798449550305</v>
      </c>
      <c r="D52">
        <f>'Scenario 6 - St1 0.4'!Q63</f>
        <v>201.59544267730536</v>
      </c>
      <c r="E52">
        <f>'Scenario 6 - St1 0.5'!Q63</f>
        <v>201.54174763972406</v>
      </c>
    </row>
    <row r="53" spans="1:5" x14ac:dyDescent="0.3">
      <c r="A53" s="19">
        <f t="shared" si="0"/>
        <v>0.50000000000000022</v>
      </c>
      <c r="B53">
        <f>'Scenario 5 - St1 0.4'!Q64</f>
        <v>206.39729099801684</v>
      </c>
      <c r="C53">
        <f>'Scenario 5 - St1 0.5'!Q64</f>
        <v>208.83471831838239</v>
      </c>
      <c r="D53">
        <f>'Scenario 6 - St1 0.4'!Q64</f>
        <v>201.32418212484777</v>
      </c>
      <c r="E53">
        <f>'Scenario 6 - St1 0.5'!Q64</f>
        <v>201.24947937009154</v>
      </c>
    </row>
    <row r="54" spans="1:5" x14ac:dyDescent="0.3">
      <c r="A54" s="19">
        <f t="shared" si="0"/>
        <v>0.51000000000000023</v>
      </c>
      <c r="B54">
        <f>'Scenario 5 - St1 0.4'!Q65</f>
        <v>205.9091449466672</v>
      </c>
      <c r="C54">
        <f>'Scenario 5 - St1 0.5'!Q65</f>
        <v>208.68319430247712</v>
      </c>
      <c r="D54">
        <f>'Scenario 6 - St1 0.4'!Q65</f>
        <v>201.02898652231576</v>
      </c>
      <c r="E54">
        <f>'Scenario 6 - St1 0.5'!Q65</f>
        <v>200.93026713395727</v>
      </c>
    </row>
    <row r="55" spans="1:5" x14ac:dyDescent="0.3">
      <c r="A55" s="19">
        <f t="shared" si="0"/>
        <v>0.52000000000000024</v>
      </c>
      <c r="B55">
        <f>'Scenario 5 - St1 0.4'!Q66</f>
        <v>205.32571711781006</v>
      </c>
      <c r="C55">
        <f>'Scenario 5 - St1 0.5'!Q66</f>
        <v>208.42154670706282</v>
      </c>
      <c r="D55">
        <f>'Scenario 6 - St1 0.4'!Q66</f>
        <v>200.70899036859879</v>
      </c>
      <c r="E55">
        <f>'Scenario 6 - St1 0.5'!Q66</f>
        <v>200.58390531122967</v>
      </c>
    </row>
    <row r="56" spans="1:5" x14ac:dyDescent="0.3">
      <c r="A56" s="19">
        <f t="shared" si="0"/>
        <v>0.53000000000000025</v>
      </c>
      <c r="B56">
        <f>'Scenario 5 - St1 0.4'!Q67</f>
        <v>204.65261613388901</v>
      </c>
      <c r="C56">
        <f>'Scenario 5 - St1 0.5'!Q67</f>
        <v>208.03939175134423</v>
      </c>
      <c r="D56">
        <f>'Scenario 6 - St1 0.4'!Q67</f>
        <v>200.36298693108017</v>
      </c>
      <c r="E56">
        <f>'Scenario 6 - St1 0.5'!Q67</f>
        <v>200.21018046866956</v>
      </c>
    </row>
    <row r="57" spans="1:5" x14ac:dyDescent="0.3">
      <c r="A57" s="19">
        <f t="shared" si="0"/>
        <v>0.54000000000000026</v>
      </c>
      <c r="B57">
        <f>'Scenario 5 - St1 0.4'!Q68</f>
        <v>203.89816977769834</v>
      </c>
      <c r="C57">
        <f>'Scenario 5 - St1 0.5'!Q68</f>
        <v>207.52883669060208</v>
      </c>
      <c r="D57">
        <f>'Scenario 6 - St1 0.4'!Q68</f>
        <v>199.98939451920745</v>
      </c>
      <c r="E57">
        <f>'Scenario 6 - St1 0.5'!Q68</f>
        <v>199.80878025254378</v>
      </c>
    </row>
    <row r="58" spans="1:5" x14ac:dyDescent="0.3">
      <c r="A58" s="19">
        <f t="shared" si="0"/>
        <v>0.55000000000000027</v>
      </c>
      <c r="B58">
        <f>'Scenario 5 - St1 0.4'!Q69</f>
        <v>203.07263038885824</v>
      </c>
      <c r="C58">
        <f>'Scenario 5 - St1 0.5'!Q69</f>
        <v>206.88545353173726</v>
      </c>
      <c r="D58">
        <f>'Scenario 6 - St1 0.4'!Q69</f>
        <v>199.58626253912439</v>
      </c>
      <c r="E58">
        <f>'Scenario 6 - St1 0.5'!Q69</f>
        <v>199.37918668038981</v>
      </c>
    </row>
    <row r="59" spans="1:5" x14ac:dyDescent="0.3">
      <c r="A59" s="19">
        <f t="shared" si="0"/>
        <v>0.56000000000000028</v>
      </c>
      <c r="B59">
        <f>'Scenario 5 - St1 0.4'!Q70</f>
        <v>202.18717395931839</v>
      </c>
      <c r="C59">
        <f>'Scenario 5 - St1 0.5'!Q70</f>
        <v>206.10904365616994</v>
      </c>
      <c r="D59">
        <f>'Scenario 6 - St1 0.4'!Q70</f>
        <v>199.15131628678301</v>
      </c>
      <c r="E59">
        <f>'Scenario 6 - St1 0.5'!Q70</f>
        <v>198.92056736161624</v>
      </c>
    </row>
    <row r="60" spans="1:5" x14ac:dyDescent="0.3">
      <c r="A60" s="19">
        <f t="shared" si="0"/>
        <v>0.57000000000000028</v>
      </c>
      <c r="B60">
        <f>'Scenario 5 - St1 0.4'!Q71</f>
        <v>201.25286134117988</v>
      </c>
      <c r="C60">
        <f>'Scenario 5 - St1 0.5'!Q71</f>
        <v>205.20401636951101</v>
      </c>
      <c r="D60">
        <f>'Scenario 6 - St1 0.4'!Q71</f>
        <v>198.68203135088183</v>
      </c>
      <c r="E60">
        <f>'Scenario 6 - St1 0.5'!Q71</f>
        <v>198.43168258876861</v>
      </c>
    </row>
    <row r="61" spans="1:5" x14ac:dyDescent="0.3">
      <c r="A61" s="19">
        <f t="shared" si="0"/>
        <v>0.58000000000000029</v>
      </c>
      <c r="B61">
        <f>'Scenario 5 - St1 0.4'!Q72</f>
        <v>200.2797230009981</v>
      </c>
      <c r="C61">
        <f>'Scenario 5 - St1 0.5'!Q72</f>
        <v>204.17925177858527</v>
      </c>
      <c r="D61">
        <f>'Scenario 6 - St1 0.4'!Q72</f>
        <v>198.17572331071113</v>
      </c>
      <c r="E61">
        <f>'Scenario 6 - St1 0.5'!Q72</f>
        <v>197.91082671206561</v>
      </c>
    </row>
    <row r="62" spans="1:5" x14ac:dyDescent="0.3">
      <c r="A62" s="19">
        <f t="shared" si="0"/>
        <v>0.5900000000000003</v>
      </c>
      <c r="B62">
        <f>'Scenario 5 - St1 0.4'!Q73</f>
        <v>199.27608242294039</v>
      </c>
      <c r="C62">
        <f>'Scenario 5 - St1 0.5'!Q73</f>
        <v>203.04741351542299</v>
      </c>
      <c r="D62">
        <f>'Scenario 6 - St1 0.4'!Q73</f>
        <v>197.62963744129672</v>
      </c>
      <c r="E62">
        <f>'Scenario 6 - St1 0.5'!Q73</f>
        <v>197.35581746107664</v>
      </c>
    </row>
    <row r="63" spans="1:5" x14ac:dyDescent="0.3">
      <c r="A63" s="19">
        <f t="shared" si="0"/>
        <v>0.60000000000000031</v>
      </c>
      <c r="B63">
        <f>'Scenario 5 - St1 0.4'!Q74</f>
        <v>198.24816783698509</v>
      </c>
      <c r="C63">
        <f>'Scenario 5 - St1 0.5'!Q74</f>
        <v>201.82379528277815</v>
      </c>
      <c r="D63">
        <f>'Scenario 6 - St1 0.4'!Q74</f>
        <v>197.04102597232225</v>
      </c>
      <c r="E63">
        <f>'Scenario 6 - St1 0.5'!Q74</f>
        <v>196.76403756683413</v>
      </c>
    </row>
    <row r="64" spans="1:5" x14ac:dyDescent="0.3">
      <c r="A64" s="19">
        <f t="shared" si="0"/>
        <v>0.61000000000000032</v>
      </c>
      <c r="B64">
        <f>'Scenario 5 - St1 0.4'!Q75</f>
        <v>197.20000007893208</v>
      </c>
      <c r="C64">
        <f>'Scenario 5 - St1 0.5'!Q75</f>
        <v>200.52488852815253</v>
      </c>
      <c r="D64">
        <f>'Scenario 6 - St1 0.4'!Q75</f>
        <v>196.40720545281101</v>
      </c>
      <c r="E64">
        <f>'Scenario 6 - St1 0.5'!Q75</f>
        <v>196.13252187206291</v>
      </c>
    </row>
    <row r="65" spans="1:5" x14ac:dyDescent="0.3">
      <c r="A65" s="19">
        <f t="shared" si="0"/>
        <v>0.62000000000000033</v>
      </c>
      <c r="B65">
        <f>'Scenario 5 - St1 0.4'!Q76</f>
        <v>196.13350165135648</v>
      </c>
      <c r="C65">
        <f>'Scenario 5 - St1 0.5'!Q76</f>
        <v>199.16691136677551</v>
      </c>
      <c r="D65">
        <f>'Scenario 6 - St1 0.4'!Q76</f>
        <v>195.72559203336391</v>
      </c>
      <c r="E65">
        <f>'Scenario 6 - St1 0.5'!Q76</f>
        <v>195.45807379058351</v>
      </c>
    </row>
    <row r="66" spans="1:5" x14ac:dyDescent="0.3">
      <c r="A66" s="19">
        <f t="shared" si="0"/>
        <v>0.63000000000000034</v>
      </c>
      <c r="B66">
        <f>'Scenario 5 - St1 0.4'!Q77</f>
        <v>195.04875332929996</v>
      </c>
      <c r="C66">
        <f>'Scenario 5 - St1 0.5'!Q77</f>
        <v>197.76452583478641</v>
      </c>
      <c r="D66">
        <f>'Scenario 6 - St1 0.4'!Q77</f>
        <v>194.99371658716095</v>
      </c>
      <c r="E66">
        <f>'Scenario 6 - St1 0.5'!Q77</f>
        <v>194.73739045292476</v>
      </c>
    </row>
    <row r="67" spans="1:5" x14ac:dyDescent="0.3">
      <c r="A67" s="19">
        <f t="shared" si="0"/>
        <v>0.64000000000000035</v>
      </c>
      <c r="B67">
        <f>'Scenario 5 - St1 0.4'!Q78</f>
        <v>193.94432615242607</v>
      </c>
      <c r="C67">
        <f>'Scenario 5 - St1 0.5'!Q78</f>
        <v>196.32990256164695</v>
      </c>
      <c r="D67">
        <f>'Scenario 6 - St1 0.4'!Q78</f>
        <v>194.20922396842201</v>
      </c>
      <c r="E67">
        <f>'Scenario 6 - St1 0.5'!Q78</f>
        <v>193.96717706367028</v>
      </c>
    </row>
    <row r="68" spans="1:5" x14ac:dyDescent="0.3">
      <c r="A68" s="19">
        <f t="shared" si="0"/>
        <v>0.65000000000000036</v>
      </c>
      <c r="B68">
        <f>'Scenario 5 - St1 0.4'!Q79</f>
        <v>192.81763050509045</v>
      </c>
      <c r="C68">
        <f>'Scenario 5 - St1 0.5'!Q79</f>
        <v>194.87219827296923</v>
      </c>
      <c r="D68">
        <f>'Scenario 6 - St1 0.4'!Q79</f>
        <v>193.36986146607308</v>
      </c>
      <c r="E68">
        <f>'Scenario 6 - St1 0.5'!Q79</f>
        <v>193.14423660088602</v>
      </c>
    </row>
    <row r="69" spans="1:5" x14ac:dyDescent="0.3">
      <c r="A69" s="19">
        <f t="shared" si="0"/>
        <v>0.66000000000000036</v>
      </c>
      <c r="B69">
        <f>'Scenario 5 - St1 0.4'!Q80</f>
        <v>191.66524240109578</v>
      </c>
      <c r="C69">
        <f>'Scenario 5 - St1 0.5'!Q80</f>
        <v>193.39742424062871</v>
      </c>
      <c r="D69">
        <f>'Scenario 6 - St1 0.4'!Q80</f>
        <v>192.47346113296248</v>
      </c>
      <c r="E69">
        <f>'Scenario 6 - St1 0.5'!Q80</f>
        <v>192.26552845821152</v>
      </c>
    </row>
    <row r="70" spans="1:5" x14ac:dyDescent="0.3">
      <c r="A70" s="19">
        <f t="shared" ref="A70:A103" si="1">A69+0.01</f>
        <v>0.67000000000000037</v>
      </c>
      <c r="B70">
        <f>'Scenario 5 - St1 0.4'!Q81</f>
        <v>190.48318454002407</v>
      </c>
      <c r="C70">
        <f>'Scenario 5 - St1 0.5'!Q81</f>
        <v>191.90862449703931</v>
      </c>
      <c r="D70">
        <f>'Scenario 6 - St1 0.4'!Q81</f>
        <v>191.51791970386256</v>
      </c>
      <c r="E70">
        <f>'Scenario 6 - St1 0.5'!Q81</f>
        <v>191.3281964721784</v>
      </c>
    </row>
    <row r="71" spans="1:5" x14ac:dyDescent="0.3">
      <c r="A71" s="19">
        <f t="shared" si="1"/>
        <v>0.68000000000000038</v>
      </c>
      <c r="B71">
        <f>'Scenario 5 - St1 0.4'!Q82</f>
        <v>189.26715337803444</v>
      </c>
      <c r="C71">
        <f>'Scenario 5 - St1 0.5'!Q82</f>
        <v>190.40625765035497</v>
      </c>
      <c r="D71">
        <f>'Scenario 6 - St1 0.4'!Q82</f>
        <v>190.50117869168096</v>
      </c>
      <c r="E71">
        <f>'Scenario 6 - St1 0.5'!Q82</f>
        <v>190.32957145937991</v>
      </c>
    </row>
    <row r="72" spans="1:5" x14ac:dyDescent="0.3">
      <c r="A72" s="19">
        <f t="shared" si="1"/>
        <v>0.69000000000000039</v>
      </c>
      <c r="B72">
        <f>'Scenario 5 - St1 0.4'!Q83</f>
        <v>188.01269265851033</v>
      </c>
      <c r="C72">
        <f>'Scenario 5 - St1 0.5'!Q83</f>
        <v>188.88867963799311</v>
      </c>
      <c r="D72">
        <f>'Scenario 6 - St1 0.4'!Q83</f>
        <v>189.42120623514109</v>
      </c>
      <c r="E72">
        <f>'Scenario 6 - St1 0.5'!Q83</f>
        <v>189.26715553901397</v>
      </c>
    </row>
    <row r="73" spans="1:5" x14ac:dyDescent="0.3">
      <c r="A73" s="19">
        <f t="shared" si="1"/>
        <v>0.7000000000000004</v>
      </c>
      <c r="B73">
        <f>'Scenario 5 - St1 0.4'!Q84</f>
        <v>186.71531910119467</v>
      </c>
      <c r="C73">
        <f>'Scenario 5 - St1 0.5'!Q84</f>
        <v>187.35264535502415</v>
      </c>
      <c r="D73">
        <f>'Scenario 6 - St1 0.4'!Q84</f>
        <v>188.27598147944366</v>
      </c>
      <c r="E73">
        <f>'Scenario 6 - St1 0.5'!Q84</f>
        <v>188.13859559766342</v>
      </c>
    </row>
    <row r="74" spans="1:5" x14ac:dyDescent="0.3">
      <c r="A74" s="19">
        <f t="shared" si="1"/>
        <v>0.71000000000000041</v>
      </c>
      <c r="B74">
        <f>'Scenario 5 - St1 0.4'!Q85</f>
        <v>185.37060825964721</v>
      </c>
      <c r="C74">
        <f>'Scenario 5 - St1 0.5'!Q85</f>
        <v>185.79377369445638</v>
      </c>
      <c r="D74">
        <f>'Scenario 6 - St1 0.4'!Q85</f>
        <v>187.0634817222678</v>
      </c>
      <c r="E74">
        <f>'Scenario 6 - St1 0.5'!Q85</f>
        <v>186.94165206789137</v>
      </c>
    </row>
    <row r="75" spans="1:5" x14ac:dyDescent="0.3">
      <c r="A75" s="19">
        <f t="shared" si="1"/>
        <v>0.72000000000000042</v>
      </c>
      <c r="B75">
        <f>'Scenario 5 - St1 0.4'!Q86</f>
        <v>183.97424895454918</v>
      </c>
      <c r="C75">
        <f>'Scenario 5 - St1 0.5'!Q86</f>
        <v>184.20694540429071</v>
      </c>
      <c r="D75">
        <f>'Scenario 6 - St1 0.4'!Q86</f>
        <v>185.78167221761882</v>
      </c>
      <c r="E75">
        <f>'Scenario 6 - St1 0.5'!Q86</f>
        <v>185.67416750033283</v>
      </c>
    </row>
    <row r="76" spans="1:5" x14ac:dyDescent="0.3">
      <c r="A76" s="19">
        <f t="shared" si="1"/>
        <v>0.73000000000000043</v>
      </c>
      <c r="B76">
        <f>'Scenario 5 - St1 0.4'!Q87</f>
        <v>182.52207400978494</v>
      </c>
      <c r="C76">
        <f>'Scenario 5 - St1 0.5'!Q87</f>
        <v>182.58662245239933</v>
      </c>
      <c r="D76">
        <f>'Scenario 6 - St1 0.4'!Q87</f>
        <v>184.42849834814643</v>
      </c>
      <c r="E76">
        <f>'Scenario 6 - St1 0.5'!Q87</f>
        <v>184.33403774158697</v>
      </c>
    </row>
    <row r="77" spans="1:5" x14ac:dyDescent="0.3">
      <c r="A77" s="19">
        <f t="shared" si="1"/>
        <v>0.74000000000000044</v>
      </c>
      <c r="B77">
        <f>'Scenario 5 - St1 0.4'!Q88</f>
        <v>181.01007384723113</v>
      </c>
      <c r="C77">
        <f>'Scenario 5 - St1 0.5'!Q88</f>
        <v>180.92709042337265</v>
      </c>
      <c r="D77">
        <f>'Scenario 6 - St1 0.4'!Q88</f>
        <v>183.00187980229299</v>
      </c>
      <c r="E77">
        <f>'Scenario 6 - St1 0.5'!Q88</f>
        <v>182.91918716569518</v>
      </c>
    </row>
    <row r="78" spans="1:5" x14ac:dyDescent="0.3">
      <c r="A78" s="19">
        <f t="shared" si="1"/>
        <v>0.75000000000000044</v>
      </c>
      <c r="B78">
        <f>'Scenario 5 - St1 0.4'!Q89</f>
        <v>179.43439820233391</v>
      </c>
      <c r="C78">
        <f>'Scenario 5 - St1 0.5'!Q89</f>
        <v>179.22263267956924</v>
      </c>
      <c r="D78">
        <f>'Scenario 6 - St1 0.4'!Q89</f>
        <v>181.49970638492107</v>
      </c>
      <c r="E78">
        <f>'Scenario 6 - St1 0.5'!Q89</f>
        <v>181.42754843056451</v>
      </c>
    </row>
    <row r="79" spans="1:5" x14ac:dyDescent="0.3">
      <c r="A79" s="19">
        <f t="shared" si="1"/>
        <v>0.76000000000000045</v>
      </c>
      <c r="B79">
        <f>'Scenario 5 - St1 0.4'!Q90</f>
        <v>177.79135000818837</v>
      </c>
      <c r="C79">
        <f>'Scenario 5 - St1 0.5'!Q90</f>
        <v>177.46764807813059</v>
      </c>
      <c r="D79">
        <f>'Scenario 6 - St1 0.4'!Q90</f>
        <v>179.91983511902811</v>
      </c>
      <c r="E79">
        <f>'Scenario 6 - St1 0.5'!Q90</f>
        <v>179.85704661375749</v>
      </c>
    </row>
    <row r="80" spans="1:5" x14ac:dyDescent="0.3">
      <c r="A80" s="19">
        <f t="shared" si="1"/>
        <v>0.77000000000000046</v>
      </c>
      <c r="B80">
        <f>'Scenario 5 - St1 0.4'!Q91</f>
        <v>176.07737445317571</v>
      </c>
      <c r="C80">
        <f>'Scenario 5 - St1 0.5'!Q91</f>
        <v>175.65672442563212</v>
      </c>
      <c r="D80">
        <f>'Scenario 6 - St1 0.4'!Q91</f>
        <v>178.26008834189071</v>
      </c>
      <c r="E80">
        <f>'Scenario 6 - St1 0.5'!Q91</f>
        <v>178.20558724701135</v>
      </c>
    </row>
    <row r="81" spans="1:5" x14ac:dyDescent="0.3">
      <c r="A81" s="19">
        <f t="shared" si="1"/>
        <v>0.78000000000000047</v>
      </c>
      <c r="B81">
        <f>'Scenario 5 - St1 0.4'!Q92</f>
        <v>174.28904537221359</v>
      </c>
      <c r="C81">
        <f>'Scenario 5 - St1 0.5'!Q92</f>
        <v>173.78467875984251</v>
      </c>
      <c r="D81">
        <f>'Scenario 6 - St1 0.4'!Q92</f>
        <v>176.51825254927417</v>
      </c>
      <c r="E81">
        <f>'Scenario 6 - St1 0.5'!Q92</f>
        <v>176.47104762998174</v>
      </c>
    </row>
    <row r="82" spans="1:5" x14ac:dyDescent="0.3">
      <c r="A82" s="19">
        <f t="shared" si="1"/>
        <v>0.79000000000000048</v>
      </c>
      <c r="B82">
        <f>'Scenario 5 - St1 0.4'!Q93</f>
        <v>172.42305047480625</v>
      </c>
      <c r="C82">
        <f>'Scenario 5 - St1 0.5'!Q93</f>
        <v>171.84657380166584</v>
      </c>
      <c r="D82">
        <f>'Scenario 6 - St1 0.4'!Q93</f>
        <v>174.69207778940529</v>
      </c>
      <c r="E82">
        <f>'Scenario 6 - St1 0.5'!Q93</f>
        <v>174.65127078743626</v>
      </c>
    </row>
    <row r="83" spans="1:5" x14ac:dyDescent="0.3">
      <c r="A83" s="19">
        <f t="shared" si="1"/>
        <v>0.80000000000000049</v>
      </c>
      <c r="B83">
        <f>'Scenario 5 - St1 0.4'!Q94</f>
        <v>170.4761764188018</v>
      </c>
      <c r="C83">
        <f>'Scenario 5 - St1 0.5'!Q94</f>
        <v>169.83771803207037</v>
      </c>
      <c r="D83">
        <f>'Scenario 6 - St1 0.4'!Q94</f>
        <v>172.77927745094786</v>
      </c>
      <c r="E83">
        <f>'Scenario 6 - St1 0.5'!Q94</f>
        <v>172.74406148551049</v>
      </c>
    </row>
    <row r="84" spans="1:5" x14ac:dyDescent="0.3">
      <c r="A84" s="19">
        <f t="shared" si="1"/>
        <v>0.8100000000000005</v>
      </c>
      <c r="B84">
        <f>'Scenario 5 - St1 0.4'!Q95</f>
        <v>168.44529437689854</v>
      </c>
      <c r="C84">
        <f>'Scenario 5 - St1 0.5'!Q95</f>
        <v>167.75365509666617</v>
      </c>
      <c r="D84">
        <f>'Scenario 6 - St1 0.4'!Q95</f>
        <v>170.77752832509833</v>
      </c>
      <c r="E84">
        <f>'Scenario 6 - St1 0.5'!Q95</f>
        <v>170.74718380463673</v>
      </c>
    </row>
    <row r="85" spans="1:5" x14ac:dyDescent="0.3">
      <c r="A85" s="19">
        <f t="shared" si="1"/>
        <v>0.82000000000000051</v>
      </c>
      <c r="B85">
        <f>'Scenario 5 - St1 0.4'!Q96</f>
        <v>166.32734648455011</v>
      </c>
      <c r="C85">
        <f>'Scenario 5 - St1 0.5'!Q96</f>
        <v>165.59014674777325</v>
      </c>
      <c r="D85">
        <f>'Scenario 6 - St1 0.4'!Q96</f>
        <v>168.6844708511733</v>
      </c>
      <c r="E85">
        <f>'Scenario 6 - St1 0.5'!Q96</f>
        <v>168.65835985662537</v>
      </c>
    </row>
    <row r="86" spans="1:5" x14ac:dyDescent="0.3">
      <c r="A86" s="19">
        <f t="shared" si="1"/>
        <v>0.83000000000000052</v>
      </c>
      <c r="B86">
        <f>'Scenario 5 - St1 0.4'!Q97</f>
        <v>164.11933337794761</v>
      </c>
      <c r="C86">
        <f>'Scenario 5 - St1 0.5'!Q97</f>
        <v>163.34315233135794</v>
      </c>
      <c r="D86">
        <f>'Scenario 6 - St1 0.4'!Q97</f>
        <v>166.49770947833207</v>
      </c>
      <c r="E86">
        <f>'Scenario 6 - St1 0.5'!Q97</f>
        <v>166.47526931855313</v>
      </c>
    </row>
    <row r="87" spans="1:5" x14ac:dyDescent="0.3">
      <c r="A87" s="19">
        <f t="shared" si="1"/>
        <v>0.84000000000000052</v>
      </c>
      <c r="B87">
        <f>'Scenario 5 - St1 0.4'!Q98</f>
        <v>161.81830290876314</v>
      </c>
      <c r="C87">
        <f>'Scenario 5 - St1 0.5'!Q98</f>
        <v>161.00880689643736</v>
      </c>
      <c r="D87">
        <f>'Scenario 6 - St1 0.4'!Q98</f>
        <v>164.21481309423484</v>
      </c>
      <c r="E87">
        <f>'Scenario 6 - St1 0.5'!Q98</f>
        <v>164.19554953068229</v>
      </c>
    </row>
    <row r="88" spans="1:5" x14ac:dyDescent="0.3">
      <c r="A88" s="19">
        <f t="shared" si="1"/>
        <v>0.85000000000000053</v>
      </c>
      <c r="B88">
        <f>'Scenario 5 - St1 0.4'!Q99</f>
        <v>159.42134004232017</v>
      </c>
      <c r="C88">
        <f>'Scenario 5 - St1 0.5'!Q99</f>
        <v>158.58339930846705</v>
      </c>
      <c r="D88">
        <f>'Scenario 6 - St1 0.4'!Q99</f>
        <v>161.8333154853795</v>
      </c>
      <c r="E88">
        <f>'Scenario 6 - St1 0.5'!Q99</f>
        <v>161.81679596769004</v>
      </c>
    </row>
    <row r="89" spans="1:5" x14ac:dyDescent="0.3">
      <c r="A89" s="19">
        <f t="shared" si="1"/>
        <v>0.86000000000000054</v>
      </c>
      <c r="B89">
        <f>'Scenario 5 - St1 0.4'!Q100</f>
        <v>156.92555789564187</v>
      </c>
      <c r="C89">
        <f>'Scenario 5 - St1 0.5'!Q100</f>
        <v>156.06335124124894</v>
      </c>
      <c r="D89">
        <f>'Scenario 6 - St1 0.4'!Q100</f>
        <v>159.35071580442406</v>
      </c>
      <c r="E89">
        <f>'Scenario 6 - St1 0.5'!Q100</f>
        <v>159.33656294232696</v>
      </c>
    </row>
    <row r="90" spans="1:5" x14ac:dyDescent="0.3">
      <c r="A90" s="19">
        <f t="shared" si="1"/>
        <v>0.87000000000000055</v>
      </c>
      <c r="B90">
        <f>'Scenario 5 - St1 0.4'!Q101</f>
        <v>154.3280898423755</v>
      </c>
      <c r="C90">
        <f>'Scenario 5 - St1 0.5'!Q101</f>
        <v>153.44519756192523</v>
      </c>
      <c r="D90">
        <f>'Scenario 6 - St1 0.4'!Q101</f>
        <v>156.76447902770391</v>
      </c>
      <c r="E90">
        <f>'Scenario 6 - St1 0.5'!Q101</f>
        <v>156.75236443959619</v>
      </c>
    </row>
    <row r="91" spans="1:5" x14ac:dyDescent="0.3">
      <c r="A91" s="19">
        <f t="shared" si="1"/>
        <v>0.88000000000000056</v>
      </c>
      <c r="B91">
        <f>'Scenario 5 - St1 0.4'!Q102</f>
        <v>151.62608259629499</v>
      </c>
      <c r="C91">
        <f>'Scenario 5 - St1 0.5'!Q102</f>
        <v>150.72556837452214</v>
      </c>
      <c r="D91">
        <f>'Scenario 6 - St1 0.4'!Q102</f>
        <v>154.07203639199173</v>
      </c>
      <c r="E91">
        <f>'Scenario 6 - St1 0.5'!Q102</f>
        <v>154.06167500938361</v>
      </c>
    </row>
    <row r="92" spans="1:5" x14ac:dyDescent="0.3">
      <c r="A92" s="19">
        <f t="shared" si="1"/>
        <v>0.89000000000000057</v>
      </c>
      <c r="B92">
        <f>'Scenario 5 - St1 0.4'!Q103</f>
        <v>148.81669017921979</v>
      </c>
      <c r="C92">
        <f>'Scenario 5 - St1 0.5'!Q103</f>
        <v>147.90117282000199</v>
      </c>
      <c r="D92">
        <f>'Scenario 6 - St1 0.4'!Q103</f>
        <v>151.27078580380669</v>
      </c>
      <c r="E92">
        <f>'Scenario 6 - St1 0.5'!Q103</f>
        <v>151.26193066791001</v>
      </c>
    </row>
    <row r="93" spans="1:5" x14ac:dyDescent="0.3">
      <c r="A93" s="19">
        <f t="shared" si="1"/>
        <v>0.90000000000000058</v>
      </c>
      <c r="B93">
        <f>'Scenario 5 - St1 0.4'!Q104</f>
        <v>145.89706867939358</v>
      </c>
      <c r="C93">
        <f>'Scenario 5 - St1 0.5'!Q104</f>
        <v>144.96878462206263</v>
      </c>
      <c r="D93">
        <f>'Scenario 6 - St1 0.4'!Q104</f>
        <v>148.35809221764094</v>
      </c>
      <c r="E93">
        <f>'Scenario 6 - St1 0.5'!Q104</f>
        <v>148.35052977498253</v>
      </c>
    </row>
    <row r="94" spans="1:5" x14ac:dyDescent="0.3">
      <c r="A94" s="19">
        <f t="shared" si="1"/>
        <v>0.91000000000000059</v>
      </c>
      <c r="B94">
        <f>'Scenario 5 - St1 0.4'!Q105</f>
        <v>142.86437171032011</v>
      </c>
      <c r="C94">
        <f>'Scenario 5 - St1 0.5'!Q105</f>
        <v>141.92522930073642</v>
      </c>
      <c r="D94">
        <f>'Scenario 6 - St1 0.4'!Q105</f>
        <v>145.33128798163153</v>
      </c>
      <c r="E94">
        <f>'Scenario 6 - St1 0.5'!Q105</f>
        <v>145.32483386613083</v>
      </c>
    </row>
    <row r="95" spans="1:5" x14ac:dyDescent="0.3">
      <c r="A95" s="19">
        <f t="shared" si="1"/>
        <v>0.9200000000000006</v>
      </c>
      <c r="B95">
        <f>'Scenario 5 - St1 0.4'!Q106</f>
        <v>139.71574648615174</v>
      </c>
      <c r="C95">
        <f>'Scenario 5 - St1 0.5'!Q106</f>
        <v>138.76737293740626</v>
      </c>
      <c r="D95">
        <f>'Scenario 6 - St1 0.4'!Q106</f>
        <v>142.18767315069738</v>
      </c>
      <c r="E95">
        <f>'Scenario 6 - St1 0.5'!Q106</f>
        <v>142.18216842739437</v>
      </c>
    </row>
    <row r="96" spans="1:5" x14ac:dyDescent="0.3">
      <c r="A96" s="19">
        <f t="shared" si="1"/>
        <v>0.9300000000000006</v>
      </c>
      <c r="B96">
        <f>'Scenario 5 - St1 0.4'!Q107</f>
        <v>136.44833043689363</v>
      </c>
      <c r="C96">
        <f>'Scenario 5 - St1 0.5'!Q107</f>
        <v>135.49211235590346</v>
      </c>
      <c r="D96">
        <f>'Scenario 6 - St1 0.4'!Q107</f>
        <v>138.92451576815776</v>
      </c>
      <c r="E96">
        <f>'Scenario 6 - St1 0.5'!Q107</f>
        <v>138.91982360664659</v>
      </c>
    </row>
    <row r="97" spans="1:5" x14ac:dyDescent="0.3">
      <c r="A97" s="19">
        <f t="shared" si="1"/>
        <v>0.94000000000000061</v>
      </c>
      <c r="B97">
        <f>'Scenario 5 - St1 0.4'!Q108</f>
        <v>133.05924829422131</v>
      </c>
      <c r="C97">
        <f>'Scenario 5 - St1 0.5'!Q108</f>
        <v>132.09636657824379</v>
      </c>
      <c r="D97">
        <f>'Scenario 6 - St1 0.4'!Q108</f>
        <v>135.53905211748381</v>
      </c>
      <c r="E97">
        <f>'Scenario 6 - St1 0.5'!Q108</f>
        <v>135.53505485956057</v>
      </c>
    </row>
    <row r="98" spans="1:5" x14ac:dyDescent="0.3">
      <c r="A98" s="19">
        <f t="shared" si="1"/>
        <v>0.95000000000000062</v>
      </c>
      <c r="B98">
        <f>'Scenario 5 - St1 0.4'!Q109</f>
        <v>129.54560958615798</v>
      </c>
      <c r="C98">
        <f>'Scenario 5 - St1 0.5'!Q109</f>
        <v>128.57706941563529</v>
      </c>
      <c r="D98">
        <f>'Scenario 6 - St1 0.4'!Q109</f>
        <v>132.02848694621059</v>
      </c>
      <c r="E98">
        <f>'Scenario 6 - St1 0.5'!Q109</f>
        <v>132.02508353114777</v>
      </c>
    </row>
    <row r="99" spans="1:5" x14ac:dyDescent="0.3">
      <c r="A99" s="19">
        <f t="shared" si="1"/>
        <v>0.96000000000000063</v>
      </c>
      <c r="B99">
        <f>'Scenario 5 - St1 0.4'!Q110</f>
        <v>125.90450648595211</v>
      </c>
      <c r="C99">
        <f>'Scenario 5 - St1 0.5'!Q110</f>
        <v>124.93116306241421</v>
      </c>
      <c r="D99">
        <f>'Scenario 6 - St1 0.4'!Q110</f>
        <v>128.38999366422419</v>
      </c>
      <c r="E99">
        <f>'Scenario 6 - St1 0.5'!Q110</f>
        <v>128.38709737562249</v>
      </c>
    </row>
    <row r="100" spans="1:5" x14ac:dyDescent="0.3">
      <c r="A100" s="19">
        <f t="shared" si="1"/>
        <v>0.97000000000000064</v>
      </c>
      <c r="B100">
        <f>'Scenario 5 - St1 0.4'!Q111</f>
        <v>122.13301196708055</v>
      </c>
      <c r="C100">
        <f>'Scenario 5 - St1 0.5'!Q111</f>
        <v>121.15559257034172</v>
      </c>
      <c r="D100">
        <f>'Scenario 6 - St1 0.4'!Q111</f>
        <v>124.62071451869912</v>
      </c>
      <c r="E100">
        <f>'Scenario 6 - St1 0.5'!Q111</f>
        <v>124.61825101844425</v>
      </c>
    </row>
    <row r="101" spans="1:5" x14ac:dyDescent="0.3">
      <c r="A101" s="19">
        <f t="shared" si="1"/>
        <v>0.98000000000000065</v>
      </c>
      <c r="B101">
        <f>'Scenario 5 - St1 0.4'!Q112</f>
        <v>118.22817822230924</v>
      </c>
      <c r="C101">
        <f>'Scenario 5 - St1 0.5'!Q112</f>
        <v>117.24730109174689</v>
      </c>
      <c r="D101">
        <f>'Scenario 6 - St1 0.4'!Q112</f>
        <v>120.71776074793094</v>
      </c>
      <c r="E101">
        <f>'Scenario 6 - St1 0.5'!Q112</f>
        <v>120.71566636498397</v>
      </c>
    </row>
    <row r="102" spans="1:5" x14ac:dyDescent="0.3">
      <c r="A102" s="19">
        <f t="shared" si="1"/>
        <v>0.99000000000000066</v>
      </c>
      <c r="B102">
        <f>'Scenario 5 - St1 0.4'!Q113</f>
        <v>114.18703531014602</v>
      </c>
      <c r="C102">
        <f>'Scenario 5 - St1 0.5'!Q113</f>
        <v>113.2032257913816</v>
      </c>
      <c r="D102">
        <f>'Scenario 6 - St1 0.4'!Q113</f>
        <v>116.67821271621884</v>
      </c>
      <c r="E102">
        <f>'Scenario 6 - St1 0.5'!Q113</f>
        <v>116.67643296049874</v>
      </c>
    </row>
    <row r="103" spans="1:5" x14ac:dyDescent="0.3">
      <c r="A103" s="19">
        <f t="shared" si="1"/>
        <v>1.0000000000000007</v>
      </c>
      <c r="B103">
        <f>'Scenario 5 - St1 0.4'!Q114</f>
        <v>110.00658999683654</v>
      </c>
      <c r="C103">
        <f>'Scenario 5 - St1 0.5'!Q114</f>
        <v>109.02029433796147</v>
      </c>
      <c r="D103">
        <f>'Scenario 6 - St1 0.4'!Q114</f>
        <v>112.49912003183107</v>
      </c>
      <c r="E103">
        <f>'Scenario 6 - St1 0.5'!Q114</f>
        <v>112.49760830610563</v>
      </c>
    </row>
  </sheetData>
  <conditionalFormatting sqref="B3:B10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0935-2B96-424B-AA84-B91447EA1575}">
  <dimension ref="B1:R1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5</v>
      </c>
      <c r="C4" s="12">
        <v>50</v>
      </c>
      <c r="D4" s="12">
        <v>5</v>
      </c>
      <c r="E4" s="12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5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5</v>
      </c>
      <c r="C10" s="5">
        <f t="shared" ref="C10:E10" si="0">C4+C7</f>
        <v>50</v>
      </c>
      <c r="D10" s="5">
        <f t="shared" si="0"/>
        <v>10</v>
      </c>
      <c r="E10" s="5">
        <f t="shared" si="0"/>
        <v>30</v>
      </c>
      <c r="G10" s="10">
        <f>F7-0.5*D7-E7</f>
        <v>197.5</v>
      </c>
      <c r="K10" s="1">
        <v>1</v>
      </c>
      <c r="M10" s="1">
        <v>0.4</v>
      </c>
      <c r="N10" s="1">
        <v>0.65</v>
      </c>
      <c r="Q10" s="2" t="s">
        <v>22</v>
      </c>
      <c r="R10" s="9">
        <f>MAX(Q14:Q114)</f>
        <v>207.42951376107146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0.99997246430888542</v>
      </c>
      <c r="D14" s="6">
        <f t="shared" ref="D14:D77" si="1">$D$10/($D$10+$B$10)</f>
        <v>0.66666666666666663</v>
      </c>
      <c r="E14" s="6">
        <f>$E$10/($E$10+$C$10)</f>
        <v>0.375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197.5</v>
      </c>
      <c r="L14">
        <f>$G$10+I14</f>
        <v>197.5</v>
      </c>
      <c r="M14">
        <f>C14*D14^(1-EXP(-5*B14))+(1-C14)*E14</f>
        <v>0.99998279019305336</v>
      </c>
      <c r="N14" s="3">
        <f>M14*K14+(1-M14)*L14</f>
        <v>197.5</v>
      </c>
      <c r="O14">
        <f>K14*M14</f>
        <v>197.49660106312803</v>
      </c>
      <c r="P14">
        <f>(1-M14)*L14</f>
        <v>3.3989368719611335E-3</v>
      </c>
      <c r="Q14">
        <f>P14+O14</f>
        <v>197.5</v>
      </c>
    </row>
    <row r="15" spans="2:18" x14ac:dyDescent="0.3">
      <c r="B15">
        <v>0.01</v>
      </c>
      <c r="C15">
        <f t="shared" ref="C15:C78" si="3">1-1/(1+EXP(-20*(B15-(($N$10+$M$10)/2))))</f>
        <v>0.99996636803596128</v>
      </c>
      <c r="D15" s="6">
        <f>$D$10/($D$10+$B$10)</f>
        <v>0.66666666666666663</v>
      </c>
      <c r="E15" s="6">
        <f>$E$10/($E$10+$C$10)</f>
        <v>0.375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197.51</v>
      </c>
      <c r="L15">
        <f>$G$10+I15</f>
        <v>197.49999800000001</v>
      </c>
      <c r="M15">
        <f t="shared" ref="M15:M78" si="8">C15*D15^(1-EXP(-5*B15))+(1-C15)*E15</f>
        <v>0.98039911013937309</v>
      </c>
      <c r="N15">
        <f>M15*K15+(1-M15)*L15</f>
        <v>197.50980395189961</v>
      </c>
      <c r="O15">
        <f>K15*M15</f>
        <v>193.63862824362758</v>
      </c>
      <c r="P15">
        <f>(1-M15)*L15</f>
        <v>3.8711757082720357</v>
      </c>
      <c r="Q15">
        <f>P15+O15</f>
        <v>197.50980395189961</v>
      </c>
      <c r="R15" s="4"/>
    </row>
    <row r="16" spans="2:18" x14ac:dyDescent="0.3">
      <c r="B16">
        <f>B15+0.01</f>
        <v>0.02</v>
      </c>
      <c r="C16">
        <f t="shared" si="3"/>
        <v>0.99995892213223525</v>
      </c>
      <c r="D16" s="6">
        <f t="shared" si="1"/>
        <v>0.66666666666666663</v>
      </c>
      <c r="E16" s="6">
        <f t="shared" ref="E16:E79" si="9">$E$10/($E$10+$C$10)</f>
        <v>0.375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197.54</v>
      </c>
      <c r="L16">
        <f t="shared" ref="L16:L79" si="10">$G$10+I16</f>
        <v>197.499968</v>
      </c>
      <c r="M16">
        <f t="shared" si="8"/>
        <v>0.96212569710869278</v>
      </c>
      <c r="N16">
        <f t="shared" ref="N16:N79" si="11">M16*K16+(1-M16)*L16</f>
        <v>197.53848381590663</v>
      </c>
      <c r="O16">
        <f t="shared" ref="O16:O79" si="12">K16*M16</f>
        <v>190.05831020685116</v>
      </c>
      <c r="P16">
        <f t="shared" ref="P16:P79" si="13">(1-M16)*L16</f>
        <v>7.4801736090554831</v>
      </c>
      <c r="Q16">
        <f t="shared" ref="Q16:Q79" si="14">P16+O16</f>
        <v>197.53848381590663</v>
      </c>
      <c r="R16" s="4"/>
    </row>
    <row r="17" spans="2:18" x14ac:dyDescent="0.3">
      <c r="B17">
        <f t="shared" ref="B17:B80" si="15">B16+0.01</f>
        <v>0.03</v>
      </c>
      <c r="C17">
        <f t="shared" si="3"/>
        <v>0.99994982783531627</v>
      </c>
      <c r="D17" s="6">
        <f t="shared" si="1"/>
        <v>0.66666666666666663</v>
      </c>
      <c r="E17" s="6">
        <f t="shared" si="9"/>
        <v>0.375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197.59</v>
      </c>
      <c r="L17">
        <f t="shared" si="10"/>
        <v>197.49983800000001</v>
      </c>
      <c r="M17">
        <f t="shared" si="8"/>
        <v>0.94505862132104101</v>
      </c>
      <c r="N17">
        <f t="shared" si="11"/>
        <v>197.58504637541557</v>
      </c>
      <c r="O17">
        <f t="shared" si="12"/>
        <v>186.73413298682451</v>
      </c>
      <c r="P17">
        <f t="shared" si="13"/>
        <v>10.850913388591055</v>
      </c>
      <c r="Q17">
        <f t="shared" si="14"/>
        <v>197.58504637541557</v>
      </c>
      <c r="R17" s="4"/>
    </row>
    <row r="18" spans="2:18" x14ac:dyDescent="0.3">
      <c r="B18">
        <f t="shared" si="15"/>
        <v>0.04</v>
      </c>
      <c r="C18">
        <f t="shared" si="3"/>
        <v>0.99993872026038344</v>
      </c>
      <c r="D18" s="6">
        <f t="shared" si="1"/>
        <v>0.66666666666666663</v>
      </c>
      <c r="E18" s="6">
        <f t="shared" si="9"/>
        <v>0.375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197.66</v>
      </c>
      <c r="L18">
        <f t="shared" si="10"/>
        <v>197.49948800000001</v>
      </c>
      <c r="M18">
        <f t="shared" si="8"/>
        <v>0.92910371699523719</v>
      </c>
      <c r="N18">
        <f t="shared" si="11"/>
        <v>197.64862029582235</v>
      </c>
      <c r="O18">
        <f t="shared" si="12"/>
        <v>183.64664070127859</v>
      </c>
      <c r="P18">
        <f t="shared" si="13"/>
        <v>14.001979594543757</v>
      </c>
      <c r="Q18">
        <f t="shared" si="14"/>
        <v>197.64862029582235</v>
      </c>
      <c r="R18" s="4"/>
    </row>
    <row r="19" spans="2:18" x14ac:dyDescent="0.3">
      <c r="B19">
        <f t="shared" si="15"/>
        <v>0.05</v>
      </c>
      <c r="C19">
        <f t="shared" si="3"/>
        <v>0.99992515377248936</v>
      </c>
      <c r="D19" s="6">
        <f t="shared" si="1"/>
        <v>0.66666666666666663</v>
      </c>
      <c r="E19" s="6">
        <f t="shared" si="9"/>
        <v>0.375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197.75</v>
      </c>
      <c r="L19">
        <f t="shared" si="10"/>
        <v>197.49875</v>
      </c>
      <c r="M19">
        <f t="shared" si="8"/>
        <v>0.91417550202705211</v>
      </c>
      <c r="N19">
        <f t="shared" si="11"/>
        <v>197.7284365948843</v>
      </c>
      <c r="O19">
        <f t="shared" si="12"/>
        <v>180.77820552584956</v>
      </c>
      <c r="P19">
        <f t="shared" si="13"/>
        <v>16.950231069034743</v>
      </c>
      <c r="Q19">
        <f t="shared" si="14"/>
        <v>197.7284365948843</v>
      </c>
      <c r="R19" s="4"/>
    </row>
    <row r="20" spans="2:18" x14ac:dyDescent="0.3">
      <c r="B20">
        <f t="shared" si="15"/>
        <v>6.0000000000000005E-2</v>
      </c>
      <c r="C20">
        <f t="shared" si="3"/>
        <v>0.9999085841261478</v>
      </c>
      <c r="D20" s="6">
        <f t="shared" si="1"/>
        <v>0.66666666666666663</v>
      </c>
      <c r="E20" s="6">
        <f t="shared" si="9"/>
        <v>0.375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197.86</v>
      </c>
      <c r="L20">
        <f t="shared" si="10"/>
        <v>197.49740800000001</v>
      </c>
      <c r="M20">
        <f t="shared" si="8"/>
        <v>0.90019623021271633</v>
      </c>
      <c r="N20">
        <f t="shared" si="11"/>
        <v>197.82381195150529</v>
      </c>
      <c r="O20">
        <f t="shared" si="12"/>
        <v>178.11282610988806</v>
      </c>
      <c r="P20">
        <f t="shared" si="13"/>
        <v>19.710985841617237</v>
      </c>
      <c r="Q20">
        <f t="shared" si="14"/>
        <v>197.82381195150529</v>
      </c>
      <c r="R20" s="4"/>
    </row>
    <row r="21" spans="2:18" x14ac:dyDescent="0.3">
      <c r="B21">
        <f t="shared" si="15"/>
        <v>7.0000000000000007E-2</v>
      </c>
      <c r="C21">
        <f t="shared" si="3"/>
        <v>0.99988834665937043</v>
      </c>
      <c r="D21" s="6">
        <f t="shared" si="1"/>
        <v>0.66666666666666663</v>
      </c>
      <c r="E21" s="6">
        <f t="shared" si="9"/>
        <v>0.375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197.99</v>
      </c>
      <c r="L21">
        <f t="shared" si="10"/>
        <v>197.49519799999999</v>
      </c>
      <c r="M21">
        <f t="shared" si="8"/>
        <v>0.88709505742156236</v>
      </c>
      <c r="N21">
        <f t="shared" si="11"/>
        <v>197.93413440860229</v>
      </c>
      <c r="O21">
        <f t="shared" si="12"/>
        <v>175.63595041889513</v>
      </c>
      <c r="P21">
        <f t="shared" si="13"/>
        <v>22.298183989707169</v>
      </c>
      <c r="Q21">
        <f t="shared" si="14"/>
        <v>197.93413440860229</v>
      </c>
      <c r="R21" s="4"/>
    </row>
    <row r="22" spans="2:18" x14ac:dyDescent="0.3">
      <c r="B22">
        <f t="shared" si="15"/>
        <v>0.08</v>
      </c>
      <c r="C22">
        <f t="shared" si="3"/>
        <v>0.99986362967292053</v>
      </c>
      <c r="D22" s="6">
        <f t="shared" si="1"/>
        <v>0.66666666666666663</v>
      </c>
      <c r="E22" s="6">
        <f t="shared" si="9"/>
        <v>0.375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198.14</v>
      </c>
      <c r="L22">
        <f t="shared" si="10"/>
        <v>197.49180799999999</v>
      </c>
      <c r="M22">
        <f t="shared" si="8"/>
        <v>0.87480730582304644</v>
      </c>
      <c r="N22">
        <f t="shared" si="11"/>
        <v>198.05885109717605</v>
      </c>
      <c r="O22">
        <f t="shared" si="12"/>
        <v>173.33431957577841</v>
      </c>
      <c r="P22">
        <f t="shared" si="13"/>
        <v>24.72453152139763</v>
      </c>
      <c r="Q22">
        <f t="shared" si="14"/>
        <v>198.05885109717605</v>
      </c>
      <c r="R22" s="4"/>
    </row>
    <row r="23" spans="2:18" x14ac:dyDescent="0.3">
      <c r="B23">
        <f t="shared" si="15"/>
        <v>0.09</v>
      </c>
      <c r="C23">
        <f t="shared" si="3"/>
        <v>0.99983344193522261</v>
      </c>
      <c r="D23" s="6">
        <f t="shared" si="1"/>
        <v>0.66666666666666663</v>
      </c>
      <c r="E23" s="6">
        <f t="shared" si="9"/>
        <v>0.375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198.31</v>
      </c>
      <c r="L23">
        <f t="shared" si="10"/>
        <v>197.48687799999999</v>
      </c>
      <c r="M23">
        <f t="shared" si="8"/>
        <v>0.86327381252054403</v>
      </c>
      <c r="N23">
        <f t="shared" si="11"/>
        <v>198.19745766710955</v>
      </c>
      <c r="O23">
        <f t="shared" si="12"/>
        <v>171.1958297609491</v>
      </c>
      <c r="P23">
        <f t="shared" si="13"/>
        <v>27.001627906160447</v>
      </c>
      <c r="Q23">
        <f t="shared" si="14"/>
        <v>198.19745766710955</v>
      </c>
      <c r="R23" s="4"/>
    </row>
    <row r="24" spans="2:18" x14ac:dyDescent="0.3">
      <c r="B24">
        <f t="shared" si="15"/>
        <v>9.9999999999999992E-2</v>
      </c>
      <c r="C24">
        <f t="shared" si="3"/>
        <v>0.9997965730219448</v>
      </c>
      <c r="D24" s="6">
        <f t="shared" si="1"/>
        <v>0.66666666666666663</v>
      </c>
      <c r="E24" s="6">
        <f t="shared" si="9"/>
        <v>0.375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198.5</v>
      </c>
      <c r="L24">
        <f t="shared" si="10"/>
        <v>197.48</v>
      </c>
      <c r="M24">
        <f t="shared" si="8"/>
        <v>0.85244035081157765</v>
      </c>
      <c r="N24">
        <f t="shared" si="11"/>
        <v>198.3494891578278</v>
      </c>
      <c r="O24">
        <f t="shared" si="12"/>
        <v>169.20940963609817</v>
      </c>
      <c r="P24">
        <f t="shared" si="13"/>
        <v>29.140079521729643</v>
      </c>
      <c r="Q24">
        <f t="shared" si="14"/>
        <v>198.3494891578278</v>
      </c>
      <c r="R24" s="4"/>
    </row>
    <row r="25" spans="2:18" x14ac:dyDescent="0.3">
      <c r="B25">
        <f t="shared" si="15"/>
        <v>0.10999999999999999</v>
      </c>
      <c r="C25">
        <f t="shared" si="3"/>
        <v>0.99975154491816065</v>
      </c>
      <c r="D25" s="6">
        <f t="shared" si="1"/>
        <v>0.66666666666666663</v>
      </c>
      <c r="E25" s="6">
        <f t="shared" si="9"/>
        <v>0.375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198.71</v>
      </c>
      <c r="L25">
        <f t="shared" si="10"/>
        <v>197.47071800000001</v>
      </c>
      <c r="M25">
        <f t="shared" si="8"/>
        <v>0.84225711384154422</v>
      </c>
      <c r="N25">
        <f t="shared" si="11"/>
        <v>198.51451208055579</v>
      </c>
      <c r="O25">
        <f t="shared" si="12"/>
        <v>167.36491109145325</v>
      </c>
      <c r="P25">
        <f t="shared" si="13"/>
        <v>31.149600989102524</v>
      </c>
      <c r="Q25">
        <f t="shared" si="14"/>
        <v>198.51451208055579</v>
      </c>
      <c r="R25" s="4"/>
    </row>
    <row r="26" spans="2:18" x14ac:dyDescent="0.3">
      <c r="B26">
        <f t="shared" si="15"/>
        <v>0.11999999999999998</v>
      </c>
      <c r="C26">
        <f t="shared" si="3"/>
        <v>0.99969655296997106</v>
      </c>
      <c r="D26" s="6">
        <f t="shared" si="1"/>
        <v>0.66666666666666663</v>
      </c>
      <c r="E26" s="6">
        <f t="shared" si="9"/>
        <v>0.375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198.94</v>
      </c>
      <c r="L26">
        <f t="shared" si="10"/>
        <v>197.458528</v>
      </c>
      <c r="M26">
        <f t="shared" si="8"/>
        <v>0.83267825169374465</v>
      </c>
      <c r="N26">
        <f t="shared" si="11"/>
        <v>198.69211751489323</v>
      </c>
      <c r="O26">
        <f t="shared" si="12"/>
        <v>165.65301139195356</v>
      </c>
      <c r="P26">
        <f t="shared" si="13"/>
        <v>33.039106122939671</v>
      </c>
      <c r="Q26">
        <f t="shared" si="14"/>
        <v>198.69211751489323</v>
      </c>
      <c r="R26" s="4"/>
    </row>
    <row r="27" spans="2:18" x14ac:dyDescent="0.3">
      <c r="B27">
        <f t="shared" si="15"/>
        <v>0.12999999999999998</v>
      </c>
      <c r="C27">
        <f t="shared" si="3"/>
        <v>0.99962939385937355</v>
      </c>
      <c r="D27" s="6">
        <f t="shared" si="1"/>
        <v>0.66666666666666663</v>
      </c>
      <c r="E27" s="6">
        <f t="shared" si="9"/>
        <v>0.375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199.19</v>
      </c>
      <c r="L27">
        <f t="shared" si="10"/>
        <v>197.44287800000001</v>
      </c>
      <c r="M27">
        <f t="shared" si="8"/>
        <v>0.82366145400109836</v>
      </c>
      <c r="N27">
        <f t="shared" si="11"/>
        <v>198.88191504683732</v>
      </c>
      <c r="O27">
        <f t="shared" si="12"/>
        <v>164.06512502247878</v>
      </c>
      <c r="P27">
        <f t="shared" si="13"/>
        <v>34.816790024358525</v>
      </c>
      <c r="Q27">
        <f t="shared" si="14"/>
        <v>198.88191504683732</v>
      </c>
      <c r="R27" s="4"/>
    </row>
    <row r="28" spans="2:18" x14ac:dyDescent="0.3">
      <c r="B28">
        <f t="shared" si="15"/>
        <v>0.13999999999999999</v>
      </c>
      <c r="C28">
        <f t="shared" si="3"/>
        <v>0.9995473777767595</v>
      </c>
      <c r="D28" s="6">
        <f t="shared" si="1"/>
        <v>0.66666666666666663</v>
      </c>
      <c r="E28" s="6">
        <f t="shared" si="9"/>
        <v>0.375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199.46</v>
      </c>
      <c r="L28">
        <f t="shared" si="10"/>
        <v>197.423168</v>
      </c>
      <c r="M28">
        <f t="shared" si="8"/>
        <v>0.81516757100484361</v>
      </c>
      <c r="N28">
        <f t="shared" si="11"/>
        <v>199.08352739398492</v>
      </c>
      <c r="O28">
        <f t="shared" si="12"/>
        <v>162.5933237126261</v>
      </c>
      <c r="P28">
        <f t="shared" si="13"/>
        <v>36.490203681358835</v>
      </c>
      <c r="Q28">
        <f t="shared" si="14"/>
        <v>199.08352739398492</v>
      </c>
      <c r="R28" s="4"/>
    </row>
    <row r="29" spans="2:18" x14ac:dyDescent="0.3">
      <c r="B29">
        <f t="shared" si="15"/>
        <v>0.15</v>
      </c>
      <c r="C29">
        <f t="shared" si="3"/>
        <v>0.9994472213630764</v>
      </c>
      <c r="D29" s="6">
        <f t="shared" si="1"/>
        <v>0.66666666666666663</v>
      </c>
      <c r="E29" s="6">
        <f t="shared" si="9"/>
        <v>0.375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199.75</v>
      </c>
      <c r="L29">
        <f t="shared" si="10"/>
        <v>197.39875000000001</v>
      </c>
      <c r="M29">
        <f t="shared" si="8"/>
        <v>0.80716026664652629</v>
      </c>
      <c r="N29">
        <f t="shared" si="11"/>
        <v>199.29658557695265</v>
      </c>
      <c r="O29">
        <f t="shared" si="12"/>
        <v>161.23026326264363</v>
      </c>
      <c r="P29">
        <f t="shared" si="13"/>
        <v>38.066322314309019</v>
      </c>
      <c r="Q29">
        <f t="shared" si="14"/>
        <v>199.29658557695265</v>
      </c>
      <c r="R29" s="4"/>
    </row>
    <row r="30" spans="2:18" x14ac:dyDescent="0.3">
      <c r="B30">
        <f t="shared" si="15"/>
        <v>0.16</v>
      </c>
      <c r="C30">
        <f t="shared" si="3"/>
        <v>0.99932491726936712</v>
      </c>
      <c r="D30" s="6">
        <f t="shared" si="1"/>
        <v>0.66666666666666663</v>
      </c>
      <c r="E30" s="6">
        <f t="shared" si="9"/>
        <v>0.375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200.06</v>
      </c>
      <c r="L30">
        <f t="shared" si="10"/>
        <v>197.36892800000001</v>
      </c>
      <c r="M30">
        <f t="shared" si="8"/>
        <v>0.7996056977799002</v>
      </c>
      <c r="N30">
        <f t="shared" si="11"/>
        <v>199.52072450433596</v>
      </c>
      <c r="O30">
        <f t="shared" si="12"/>
        <v>159.96911589784685</v>
      </c>
      <c r="P30">
        <f t="shared" si="13"/>
        <v>39.551608606489118</v>
      </c>
      <c r="Q30">
        <f t="shared" si="14"/>
        <v>199.52072450433596</v>
      </c>
      <c r="R30" s="4"/>
    </row>
    <row r="31" spans="2:18" x14ac:dyDescent="0.3">
      <c r="B31">
        <f t="shared" si="15"/>
        <v>0.17</v>
      </c>
      <c r="C31">
        <f t="shared" si="3"/>
        <v>0.99917557531360168</v>
      </c>
      <c r="D31" s="6">
        <f t="shared" si="1"/>
        <v>0.66666666666666663</v>
      </c>
      <c r="E31" s="6">
        <f t="shared" si="9"/>
        <v>0.375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200.39</v>
      </c>
      <c r="L31">
        <f t="shared" si="10"/>
        <v>197.33295799999999</v>
      </c>
      <c r="M31">
        <f t="shared" si="8"/>
        <v>0.79247221394249212</v>
      </c>
      <c r="N31">
        <f t="shared" si="11"/>
        <v>199.75557884185517</v>
      </c>
      <c r="O31">
        <f t="shared" si="12"/>
        <v>158.80350695193599</v>
      </c>
      <c r="P31">
        <f t="shared" si="13"/>
        <v>40.952071889919189</v>
      </c>
      <c r="Q31">
        <f t="shared" si="14"/>
        <v>199.75557884185517</v>
      </c>
      <c r="R31" s="4"/>
    </row>
    <row r="32" spans="2:18" x14ac:dyDescent="0.3">
      <c r="B32">
        <f t="shared" si="15"/>
        <v>0.18000000000000002</v>
      </c>
      <c r="C32">
        <f t="shared" si="3"/>
        <v>0.9989932291799144</v>
      </c>
      <c r="D32" s="6">
        <f t="shared" si="1"/>
        <v>0.66666666666666663</v>
      </c>
      <c r="E32" s="6">
        <f t="shared" si="9"/>
        <v>0.375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200.74</v>
      </c>
      <c r="L32">
        <f t="shared" si="10"/>
        <v>197.29004800000001</v>
      </c>
      <c r="M32">
        <f t="shared" si="8"/>
        <v>0.78573007234227343</v>
      </c>
      <c r="N32">
        <f t="shared" si="11"/>
        <v>200.0007790345374</v>
      </c>
      <c r="O32">
        <f t="shared" si="12"/>
        <v>157.72745472198798</v>
      </c>
      <c r="P32">
        <f t="shared" si="13"/>
        <v>42.273324312549406</v>
      </c>
      <c r="Q32">
        <f t="shared" si="14"/>
        <v>200.0007790345374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0.99877060137872253</v>
      </c>
      <c r="D33" s="6">
        <f t="shared" si="1"/>
        <v>0.66666666666666663</v>
      </c>
      <c r="E33" s="6">
        <f t="shared" si="9"/>
        <v>0.375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201.11</v>
      </c>
      <c r="L33">
        <f t="shared" si="10"/>
        <v>197.23935800000001</v>
      </c>
      <c r="M33">
        <f t="shared" si="8"/>
        <v>0.77935116279997385</v>
      </c>
      <c r="N33">
        <f t="shared" si="11"/>
        <v>200.25594734348243</v>
      </c>
      <c r="O33">
        <f t="shared" si="12"/>
        <v>156.73531235070274</v>
      </c>
      <c r="P33">
        <f t="shared" si="13"/>
        <v>43.520634992779677</v>
      </c>
      <c r="Q33">
        <f t="shared" si="14"/>
        <v>200.25594734348243</v>
      </c>
      <c r="R33" s="4"/>
    </row>
    <row r="34" spans="2:18" x14ac:dyDescent="0.3">
      <c r="B34">
        <f t="shared" si="15"/>
        <v>0.20000000000000004</v>
      </c>
      <c r="C34">
        <f t="shared" si="3"/>
        <v>0.99849881774326299</v>
      </c>
      <c r="D34" s="6">
        <f t="shared" si="1"/>
        <v>0.66666666666666663</v>
      </c>
      <c r="E34" s="6">
        <f t="shared" si="9"/>
        <v>0.375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201.5</v>
      </c>
      <c r="L34">
        <f t="shared" si="10"/>
        <v>197.18</v>
      </c>
      <c r="M34">
        <f t="shared" si="8"/>
        <v>0.7733087373469667</v>
      </c>
      <c r="N34">
        <f t="shared" si="11"/>
        <v>200.52069374533889</v>
      </c>
      <c r="O34">
        <f t="shared" si="12"/>
        <v>155.82171057541379</v>
      </c>
      <c r="P34">
        <f t="shared" si="13"/>
        <v>44.698983169925107</v>
      </c>
      <c r="Q34">
        <f t="shared" si="14"/>
        <v>200.52069374533889</v>
      </c>
      <c r="R34" s="4"/>
    </row>
    <row r="35" spans="2:18" x14ac:dyDescent="0.3">
      <c r="B35">
        <f t="shared" si="15"/>
        <v>0.21000000000000005</v>
      </c>
      <c r="C35">
        <f t="shared" si="3"/>
        <v>0.99816706105750719</v>
      </c>
      <c r="D35" s="6">
        <f t="shared" si="1"/>
        <v>0.66666666666666663</v>
      </c>
      <c r="E35" s="6">
        <f t="shared" si="9"/>
        <v>0.375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201.91</v>
      </c>
      <c r="L35">
        <f t="shared" si="10"/>
        <v>197.11103800000001</v>
      </c>
      <c r="M35">
        <f t="shared" si="8"/>
        <v>0.76757713901677538</v>
      </c>
      <c r="N35">
        <f t="shared" si="11"/>
        <v>200.79461152221023</v>
      </c>
      <c r="O35">
        <f t="shared" si="12"/>
        <v>154.98150013887712</v>
      </c>
      <c r="P35">
        <f t="shared" si="13"/>
        <v>45.813111383333109</v>
      </c>
      <c r="Q35">
        <f t="shared" si="14"/>
        <v>200.79461152221023</v>
      </c>
      <c r="R35" s="4"/>
    </row>
    <row r="36" spans="2:18" x14ac:dyDescent="0.3">
      <c r="B36">
        <f t="shared" si="15"/>
        <v>0.22000000000000006</v>
      </c>
      <c r="C36">
        <f t="shared" si="3"/>
        <v>0.99776215147872371</v>
      </c>
      <c r="D36" s="6">
        <f t="shared" si="1"/>
        <v>0.66666666666666663</v>
      </c>
      <c r="E36" s="6">
        <f t="shared" si="9"/>
        <v>0.375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202.34</v>
      </c>
      <c r="L36">
        <f t="shared" si="10"/>
        <v>197.031488</v>
      </c>
      <c r="M36">
        <f t="shared" si="8"/>
        <v>0.76213152409072915</v>
      </c>
      <c r="N36">
        <f t="shared" si="11"/>
        <v>201.07727234121393</v>
      </c>
      <c r="O36">
        <f t="shared" si="12"/>
        <v>154.20969258451814</v>
      </c>
      <c r="P36">
        <f t="shared" si="13"/>
        <v>46.86757975669579</v>
      </c>
      <c r="Q36">
        <f t="shared" si="14"/>
        <v>201.07727234121393</v>
      </c>
      <c r="R36" s="4"/>
    </row>
    <row r="37" spans="2:18" x14ac:dyDescent="0.3">
      <c r="B37">
        <f t="shared" si="15"/>
        <v>0.23000000000000007</v>
      </c>
      <c r="C37">
        <f t="shared" si="3"/>
        <v>0.99726803923698892</v>
      </c>
      <c r="D37" s="6">
        <f t="shared" si="1"/>
        <v>0.66666666666666663</v>
      </c>
      <c r="E37" s="6">
        <f t="shared" si="9"/>
        <v>0.375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202.79</v>
      </c>
      <c r="L37">
        <f t="shared" si="10"/>
        <v>196.94031799999999</v>
      </c>
      <c r="M37">
        <f t="shared" si="8"/>
        <v>0.75694757167475701</v>
      </c>
      <c r="N37">
        <f t="shared" si="11"/>
        <v>201.36822058496952</v>
      </c>
      <c r="O37">
        <f t="shared" si="12"/>
        <v>153.50139805992396</v>
      </c>
      <c r="P37">
        <f t="shared" si="13"/>
        <v>47.866822525045556</v>
      </c>
      <c r="Q37">
        <f t="shared" si="14"/>
        <v>201.36822058496952</v>
      </c>
      <c r="R37" s="4"/>
    </row>
    <row r="38" spans="2:18" x14ac:dyDescent="0.3">
      <c r="B38">
        <f t="shared" si="15"/>
        <v>0.24000000000000007</v>
      </c>
      <c r="C38">
        <f t="shared" si="3"/>
        <v>0.99666519269258669</v>
      </c>
      <c r="D38" s="6">
        <f t="shared" si="1"/>
        <v>0.66666666666666663</v>
      </c>
      <c r="E38" s="6">
        <f t="shared" si="9"/>
        <v>0.375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203.26</v>
      </c>
      <c r="L38">
        <f t="shared" si="10"/>
        <v>196.83644799999999</v>
      </c>
      <c r="M38">
        <f t="shared" si="8"/>
        <v>0.752001174012213</v>
      </c>
      <c r="N38">
        <f t="shared" si="11"/>
        <v>201.6669666453285</v>
      </c>
      <c r="O38">
        <f t="shared" si="12"/>
        <v>152.85175862972241</v>
      </c>
      <c r="P38">
        <f t="shared" si="13"/>
        <v>48.815208015606082</v>
      </c>
      <c r="Q38">
        <f t="shared" si="14"/>
        <v>201.6669666453285</v>
      </c>
      <c r="R38" s="4"/>
    </row>
    <row r="39" spans="2:18" x14ac:dyDescent="0.3">
      <c r="B39">
        <f t="shared" si="15"/>
        <v>0.25000000000000006</v>
      </c>
      <c r="C39">
        <f t="shared" si="3"/>
        <v>0.99592986228410385</v>
      </c>
      <c r="D39" s="6">
        <f t="shared" si="1"/>
        <v>0.66666666666666663</v>
      </c>
      <c r="E39" s="6">
        <f t="shared" si="9"/>
        <v>0.375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203.75</v>
      </c>
      <c r="L39">
        <f t="shared" si="10"/>
        <v>196.71875</v>
      </c>
      <c r="M39">
        <f t="shared" si="8"/>
        <v>0.74726810040805947</v>
      </c>
      <c r="N39">
        <f t="shared" si="11"/>
        <v>201.97297883099418</v>
      </c>
      <c r="O39">
        <f t="shared" si="12"/>
        <v>152.25587545814213</v>
      </c>
      <c r="P39">
        <f t="shared" si="13"/>
        <v>49.717103372852051</v>
      </c>
      <c r="Q39">
        <f t="shared" si="14"/>
        <v>201.97297883099418</v>
      </c>
      <c r="R39" s="4"/>
    </row>
    <row r="40" spans="2:18" x14ac:dyDescent="0.3">
      <c r="B40">
        <f t="shared" si="15"/>
        <v>0.26000000000000006</v>
      </c>
      <c r="C40">
        <f t="shared" si="3"/>
        <v>0.99503319834994308</v>
      </c>
      <c r="D40" s="6">
        <f t="shared" si="1"/>
        <v>0.66666666666666663</v>
      </c>
      <c r="E40" s="6">
        <f t="shared" si="9"/>
        <v>0.375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204.26</v>
      </c>
      <c r="L40">
        <f t="shared" si="10"/>
        <v>196.58604800000001</v>
      </c>
      <c r="M40">
        <f t="shared" si="8"/>
        <v>0.74272362710573125</v>
      </c>
      <c r="N40">
        <f t="shared" si="11"/>
        <v>202.28567346367527</v>
      </c>
      <c r="O40">
        <f t="shared" si="12"/>
        <v>151.70872807261665</v>
      </c>
      <c r="P40">
        <f t="shared" si="13"/>
        <v>50.576945391058615</v>
      </c>
      <c r="Q40">
        <f t="shared" si="14"/>
        <v>202.28567346367527</v>
      </c>
      <c r="R40" s="4"/>
    </row>
    <row r="41" spans="2:18" x14ac:dyDescent="0.3">
      <c r="B41">
        <f t="shared" si="15"/>
        <v>0.27000000000000007</v>
      </c>
      <c r="C41">
        <f t="shared" si="3"/>
        <v>0.99394019850841586</v>
      </c>
      <c r="D41" s="6">
        <f t="shared" si="1"/>
        <v>0.66666666666666663</v>
      </c>
      <c r="E41" s="6">
        <f t="shared" si="9"/>
        <v>0.375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204.79</v>
      </c>
      <c r="L41">
        <f t="shared" si="10"/>
        <v>196.437118</v>
      </c>
      <c r="M41">
        <f t="shared" si="8"/>
        <v>0.73834212500655616</v>
      </c>
      <c r="N41">
        <f t="shared" si="11"/>
        <v>202.60440264580899</v>
      </c>
      <c r="O41">
        <f t="shared" si="12"/>
        <v>151.20508378009262</v>
      </c>
      <c r="P41">
        <f t="shared" si="13"/>
        <v>51.399318865716374</v>
      </c>
      <c r="Q41">
        <f t="shared" si="14"/>
        <v>202.60440264580899</v>
      </c>
      <c r="R41" s="4"/>
    </row>
    <row r="42" spans="2:18" x14ac:dyDescent="0.3">
      <c r="B42">
        <f t="shared" si="15"/>
        <v>0.28000000000000008</v>
      </c>
      <c r="C42">
        <f t="shared" si="3"/>
        <v>0.99260845865571801</v>
      </c>
      <c r="D42" s="6">
        <f t="shared" si="1"/>
        <v>0.66666666666666663</v>
      </c>
      <c r="E42" s="6">
        <f t="shared" si="9"/>
        <v>0.375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205.34</v>
      </c>
      <c r="L42">
        <f t="shared" si="10"/>
        <v>196.27068800000001</v>
      </c>
      <c r="M42">
        <f t="shared" si="8"/>
        <v>0.73409659689061257</v>
      </c>
      <c r="N42">
        <f t="shared" si="11"/>
        <v>202.92843907533918</v>
      </c>
      <c r="O42">
        <f t="shared" si="12"/>
        <v>150.73939520551838</v>
      </c>
      <c r="P42">
        <f t="shared" si="13"/>
        <v>52.189043869820814</v>
      </c>
      <c r="Q42">
        <f t="shared" si="14"/>
        <v>202.92843907533918</v>
      </c>
      <c r="R42" s="4"/>
    </row>
    <row r="43" spans="2:18" x14ac:dyDescent="0.3">
      <c r="B43">
        <f t="shared" si="15"/>
        <v>0.29000000000000009</v>
      </c>
      <c r="C43">
        <f t="shared" si="3"/>
        <v>0.99098670134715217</v>
      </c>
      <c r="D43" s="6">
        <f t="shared" si="1"/>
        <v>0.66666666666666663</v>
      </c>
      <c r="E43" s="6">
        <f t="shared" si="9"/>
        <v>0.375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205.91</v>
      </c>
      <c r="L43">
        <f t="shared" si="10"/>
        <v>196.08543800000001</v>
      </c>
      <c r="M43">
        <f t="shared" si="8"/>
        <v>0.72995815599938219</v>
      </c>
      <c r="N43">
        <f t="shared" si="11"/>
        <v>203.2569571610216</v>
      </c>
      <c r="O43">
        <f t="shared" si="12"/>
        <v>150.30568390183279</v>
      </c>
      <c r="P43">
        <f t="shared" si="13"/>
        <v>52.951273259188817</v>
      </c>
      <c r="Q43">
        <f t="shared" si="14"/>
        <v>203.2569571610216</v>
      </c>
      <c r="R43" s="4"/>
    </row>
    <row r="44" spans="2:18" x14ac:dyDescent="0.3">
      <c r="B44">
        <f t="shared" si="15"/>
        <v>0.3000000000000001</v>
      </c>
      <c r="C44">
        <f t="shared" si="3"/>
        <v>0.98901305736940681</v>
      </c>
      <c r="D44" s="6">
        <f t="shared" si="1"/>
        <v>0.66666666666666663</v>
      </c>
      <c r="E44" s="6">
        <f t="shared" si="9"/>
        <v>0.375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206.5</v>
      </c>
      <c r="L44">
        <f t="shared" si="10"/>
        <v>195.88</v>
      </c>
      <c r="M44">
        <f t="shared" si="8"/>
        <v>0.72589543879176932</v>
      </c>
      <c r="N44">
        <f t="shared" si="11"/>
        <v>203.58900955996859</v>
      </c>
      <c r="O44">
        <f t="shared" si="12"/>
        <v>149.89740811050035</v>
      </c>
      <c r="P44">
        <f t="shared" si="13"/>
        <v>53.691601449468223</v>
      </c>
      <c r="Q44">
        <f t="shared" si="14"/>
        <v>203.58900955996859</v>
      </c>
      <c r="R44" s="4"/>
    </row>
    <row r="45" spans="2:18" x14ac:dyDescent="0.3">
      <c r="B45">
        <f t="shared" si="15"/>
        <v>0.31000000000000011</v>
      </c>
      <c r="C45">
        <f t="shared" si="3"/>
        <v>0.98661308217233523</v>
      </c>
      <c r="D45" s="6">
        <f t="shared" si="1"/>
        <v>0.66666666666666663</v>
      </c>
      <c r="E45" s="6">
        <f t="shared" si="9"/>
        <v>0.375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207.11</v>
      </c>
      <c r="L45">
        <f t="shared" si="10"/>
        <v>195.65295799999998</v>
      </c>
      <c r="M45">
        <f t="shared" si="8"/>
        <v>0.72187394684803663</v>
      </c>
      <c r="N45">
        <f t="shared" si="11"/>
        <v>203.92349812774376</v>
      </c>
      <c r="O45">
        <f t="shared" si="12"/>
        <v>149.50731313169689</v>
      </c>
      <c r="P45">
        <f t="shared" si="13"/>
        <v>54.416184996046852</v>
      </c>
      <c r="Q45">
        <f t="shared" si="14"/>
        <v>203.92349812774376</v>
      </c>
      <c r="R45" s="7"/>
    </row>
    <row r="46" spans="2:18" x14ac:dyDescent="0.3">
      <c r="B46">
        <f t="shared" si="15"/>
        <v>0.32000000000000012</v>
      </c>
      <c r="C46">
        <f t="shared" si="3"/>
        <v>0.98369750062855899</v>
      </c>
      <c r="D46" s="6">
        <f t="shared" si="1"/>
        <v>0.66666666666666663</v>
      </c>
      <c r="E46" s="6">
        <f t="shared" si="9"/>
        <v>0.375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207.74</v>
      </c>
      <c r="L46">
        <f t="shared" si="10"/>
        <v>195.40284800000001</v>
      </c>
      <c r="M46">
        <f t="shared" si="8"/>
        <v>0.71785531692516957</v>
      </c>
      <c r="N46">
        <f t="shared" si="11"/>
        <v>204.259138158914</v>
      </c>
      <c r="O46">
        <f t="shared" si="12"/>
        <v>149.12726353803473</v>
      </c>
      <c r="P46">
        <f t="shared" si="13"/>
        <v>55.131874620879266</v>
      </c>
      <c r="Q46">
        <f t="shared" si="14"/>
        <v>204.259138158914</v>
      </c>
      <c r="R46" s="4"/>
    </row>
    <row r="47" spans="2:18" x14ac:dyDescent="0.3">
      <c r="B47">
        <f t="shared" si="15"/>
        <v>0.33000000000000013</v>
      </c>
      <c r="C47">
        <f t="shared" si="3"/>
        <v>0.98015969426592242</v>
      </c>
      <c r="D47" s="6">
        <f t="shared" si="1"/>
        <v>0.66666666666666663</v>
      </c>
      <c r="E47" s="6">
        <f t="shared" si="9"/>
        <v>0.375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208.39000000000001</v>
      </c>
      <c r="L47">
        <f t="shared" si="10"/>
        <v>195.12815799999998</v>
      </c>
      <c r="M47">
        <f t="shared" si="8"/>
        <v>0.71379652495887935</v>
      </c>
      <c r="N47">
        <f t="shared" si="11"/>
        <v>204.59441473415373</v>
      </c>
      <c r="O47">
        <f t="shared" si="12"/>
        <v>148.74805783618089</v>
      </c>
      <c r="P47">
        <f t="shared" si="13"/>
        <v>55.846356897972839</v>
      </c>
      <c r="Q47">
        <f t="shared" si="14"/>
        <v>204.59441473415373</v>
      </c>
      <c r="R47" s="4"/>
    </row>
    <row r="48" spans="2:18" x14ac:dyDescent="0.3">
      <c r="B48">
        <f t="shared" si="15"/>
        <v>0.34000000000000014</v>
      </c>
      <c r="C48">
        <f t="shared" si="3"/>
        <v>0.9758729785823308</v>
      </c>
      <c r="D48" s="6">
        <f t="shared" si="1"/>
        <v>0.66666666666666663</v>
      </c>
      <c r="E48" s="6">
        <f t="shared" si="9"/>
        <v>0.375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209.06</v>
      </c>
      <c r="L48">
        <f t="shared" si="10"/>
        <v>194.82732799999999</v>
      </c>
      <c r="M48">
        <f t="shared" si="8"/>
        <v>0.70964904054294431</v>
      </c>
      <c r="N48">
        <f t="shared" si="11"/>
        <v>204.92753002916243</v>
      </c>
      <c r="O48">
        <f t="shared" si="12"/>
        <v>148.35922841590795</v>
      </c>
      <c r="P48">
        <f t="shared" si="13"/>
        <v>56.568301613254491</v>
      </c>
      <c r="Q48">
        <f t="shared" si="14"/>
        <v>204.92753002916243</v>
      </c>
      <c r="R48" s="4"/>
    </row>
    <row r="49" spans="2:18" x14ac:dyDescent="0.3">
      <c r="B49">
        <f t="shared" si="15"/>
        <v>0.35000000000000014</v>
      </c>
      <c r="C49">
        <f t="shared" si="3"/>
        <v>0.97068776924864364</v>
      </c>
      <c r="D49" s="6">
        <f t="shared" si="1"/>
        <v>0.66666666666666663</v>
      </c>
      <c r="E49" s="6">
        <f t="shared" si="9"/>
        <v>0.375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209.75</v>
      </c>
      <c r="L49">
        <f t="shared" si="10"/>
        <v>194.49875</v>
      </c>
      <c r="M49">
        <f t="shared" si="8"/>
        <v>0.70535796456992428</v>
      </c>
      <c r="N49">
        <f t="shared" si="11"/>
        <v>205.25634065714706</v>
      </c>
      <c r="O49">
        <f t="shared" si="12"/>
        <v>147.94883306854163</v>
      </c>
      <c r="P49">
        <f t="shared" si="13"/>
        <v>57.307507588605439</v>
      </c>
      <c r="Q49">
        <f t="shared" si="14"/>
        <v>205.25634065714706</v>
      </c>
      <c r="R49" s="4"/>
    </row>
    <row r="50" spans="2:18" x14ac:dyDescent="0.3">
      <c r="B50">
        <f t="shared" si="15"/>
        <v>0.36000000000000015</v>
      </c>
      <c r="C50">
        <f t="shared" si="3"/>
        <v>0.96442881072736375</v>
      </c>
      <c r="D50" s="6">
        <f t="shared" si="1"/>
        <v>0.66666666666666663</v>
      </c>
      <c r="E50" s="6">
        <f t="shared" si="9"/>
        <v>0.375</v>
      </c>
      <c r="F50" s="8">
        <f t="shared" si="4"/>
        <v>6.4800000000000052E-2</v>
      </c>
      <c r="G50" s="8">
        <f t="shared" si="5"/>
        <v>-1.6796160000000025E-2</v>
      </c>
      <c r="H50">
        <f t="shared" si="16"/>
        <v>12.96000000000001</v>
      </c>
      <c r="I50">
        <f t="shared" si="16"/>
        <v>-3.3592320000000049</v>
      </c>
      <c r="J50">
        <f t="shared" si="6"/>
        <v>9.6007680000000057</v>
      </c>
      <c r="K50">
        <f t="shared" si="7"/>
        <v>210.46</v>
      </c>
      <c r="L50">
        <f t="shared" si="10"/>
        <v>194.14076800000001</v>
      </c>
      <c r="M50">
        <f t="shared" si="8"/>
        <v>0.70086120598584079</v>
      </c>
      <c r="N50">
        <f t="shared" si="11"/>
        <v>205.57828462028272</v>
      </c>
      <c r="O50">
        <f t="shared" si="12"/>
        <v>147.50324941178005</v>
      </c>
      <c r="P50">
        <f t="shared" si="13"/>
        <v>58.075035208502676</v>
      </c>
      <c r="Q50">
        <f t="shared" si="14"/>
        <v>205.57828462028272</v>
      </c>
      <c r="R50" s="4"/>
    </row>
    <row r="51" spans="2:18" x14ac:dyDescent="0.3">
      <c r="B51">
        <f t="shared" si="15"/>
        <v>0.37000000000000016</v>
      </c>
      <c r="C51">
        <f t="shared" si="3"/>
        <v>0.95689274505891375</v>
      </c>
      <c r="D51" s="6">
        <f t="shared" si="1"/>
        <v>0.66666666666666663</v>
      </c>
      <c r="E51" s="6">
        <f t="shared" si="9"/>
        <v>0.375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211.19000000000003</v>
      </c>
      <c r="L51">
        <f t="shared" si="10"/>
        <v>193.751678</v>
      </c>
      <c r="M51">
        <f t="shared" si="8"/>
        <v>0.69608878569322608</v>
      </c>
      <c r="N51">
        <f t="shared" si="11"/>
        <v>205.89029838550749</v>
      </c>
      <c r="O51">
        <f t="shared" si="12"/>
        <v>147.00699065055244</v>
      </c>
      <c r="P51">
        <f t="shared" si="13"/>
        <v>58.883307734955054</v>
      </c>
      <c r="Q51">
        <f t="shared" si="14"/>
        <v>205.89029838550749</v>
      </c>
      <c r="R51" s="7"/>
    </row>
    <row r="52" spans="2:18" x14ac:dyDescent="0.3">
      <c r="B52">
        <f t="shared" si="15"/>
        <v>0.38000000000000017</v>
      </c>
      <c r="C52">
        <f t="shared" si="3"/>
        <v>0.9478464369215821</v>
      </c>
      <c r="D52" s="6">
        <f t="shared" si="1"/>
        <v>0.66666666666666663</v>
      </c>
      <c r="E52" s="6">
        <f t="shared" si="9"/>
        <v>0.375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211.94000000000003</v>
      </c>
      <c r="L52">
        <f t="shared" si="10"/>
        <v>193.32972799999999</v>
      </c>
      <c r="M52">
        <f t="shared" si="8"/>
        <v>0.69096239774146506</v>
      </c>
      <c r="N52">
        <f t="shared" si="11"/>
        <v>206.18872616374088</v>
      </c>
      <c r="O52">
        <f t="shared" si="12"/>
        <v>146.44257057732614</v>
      </c>
      <c r="P52">
        <f t="shared" si="13"/>
        <v>59.746155586414744</v>
      </c>
      <c r="Q52">
        <f t="shared" si="14"/>
        <v>206.18872616374088</v>
      </c>
      <c r="R52" s="4"/>
    </row>
    <row r="53" spans="2:18" x14ac:dyDescent="0.3">
      <c r="B53">
        <f t="shared" si="15"/>
        <v>0.39000000000000018</v>
      </c>
      <c r="C53">
        <f t="shared" si="3"/>
        <v>0.93702664394300328</v>
      </c>
      <c r="D53" s="6">
        <f t="shared" si="1"/>
        <v>0.66666666666666663</v>
      </c>
      <c r="E53" s="6">
        <f t="shared" si="9"/>
        <v>0.375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212.71</v>
      </c>
      <c r="L53">
        <f t="shared" si="10"/>
        <v>192.87311799999998</v>
      </c>
      <c r="M53">
        <f t="shared" si="8"/>
        <v>0.68539540988695757</v>
      </c>
      <c r="N53">
        <f t="shared" si="11"/>
        <v>206.4692258692692</v>
      </c>
      <c r="O53">
        <f t="shared" si="12"/>
        <v>145.79045763705474</v>
      </c>
      <c r="P53">
        <f t="shared" si="13"/>
        <v>60.678768232214459</v>
      </c>
      <c r="Q53">
        <f t="shared" si="14"/>
        <v>206.4692258692692</v>
      </c>
      <c r="R53" s="4"/>
    </row>
    <row r="54" spans="2:18" x14ac:dyDescent="0.3">
      <c r="B54">
        <f t="shared" si="15"/>
        <v>0.40000000000000019</v>
      </c>
      <c r="C54">
        <f t="shared" si="3"/>
        <v>0.92414181997875622</v>
      </c>
      <c r="D54" s="6">
        <f t="shared" si="1"/>
        <v>0.66666666666666663</v>
      </c>
      <c r="E54" s="6">
        <f t="shared" si="9"/>
        <v>0.375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213.5</v>
      </c>
      <c r="L54">
        <f t="shared" si="10"/>
        <v>192.38</v>
      </c>
      <c r="M54">
        <f t="shared" si="8"/>
        <v>0.6792935443377448</v>
      </c>
      <c r="N54">
        <f t="shared" si="11"/>
        <v>206.72667965641318</v>
      </c>
      <c r="O54">
        <f t="shared" si="12"/>
        <v>145.02917171610852</v>
      </c>
      <c r="P54">
        <f t="shared" si="13"/>
        <v>61.697507940304654</v>
      </c>
      <c r="Q54">
        <f t="shared" si="14"/>
        <v>206.72667965641318</v>
      </c>
      <c r="R54" s="4"/>
    </row>
    <row r="55" spans="2:18" x14ac:dyDescent="0.3">
      <c r="B55">
        <f t="shared" si="15"/>
        <v>0.4100000000000002</v>
      </c>
      <c r="C55">
        <f t="shared" si="3"/>
        <v>0.90887703898514349</v>
      </c>
      <c r="D55" s="6">
        <f t="shared" si="1"/>
        <v>0.66666666666666663</v>
      </c>
      <c r="E55" s="6">
        <f t="shared" si="9"/>
        <v>0.375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214.31</v>
      </c>
      <c r="L55">
        <f t="shared" si="10"/>
        <v>191.848478</v>
      </c>
      <c r="M55">
        <f t="shared" si="8"/>
        <v>0.67255653698632623</v>
      </c>
      <c r="N55">
        <f t="shared" si="11"/>
        <v>206.95512145176218</v>
      </c>
      <c r="O55">
        <f t="shared" si="12"/>
        <v>144.13559144153959</v>
      </c>
      <c r="P55">
        <f t="shared" si="13"/>
        <v>62.819530010222607</v>
      </c>
      <c r="Q55">
        <f t="shared" si="14"/>
        <v>206.95512145176218</v>
      </c>
      <c r="R55" s="7"/>
    </row>
    <row r="56" spans="2:18" x14ac:dyDescent="0.3">
      <c r="B56">
        <f t="shared" si="15"/>
        <v>0.42000000000000021</v>
      </c>
      <c r="C56">
        <f t="shared" si="3"/>
        <v>0.89090317880438663</v>
      </c>
      <c r="D56" s="6">
        <f t="shared" si="1"/>
        <v>0.66666666666666663</v>
      </c>
      <c r="E56" s="6">
        <f t="shared" si="9"/>
        <v>0.375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215.14000000000001</v>
      </c>
      <c r="L56">
        <f t="shared" si="10"/>
        <v>191.27660799999998</v>
      </c>
      <c r="M56">
        <f t="shared" si="8"/>
        <v>0.66508111411327087</v>
      </c>
      <c r="N56">
        <f t="shared" si="11"/>
        <v>207.1476993378817</v>
      </c>
      <c r="O56">
        <f t="shared" si="12"/>
        <v>143.0855508903291</v>
      </c>
      <c r="P56">
        <f t="shared" si="13"/>
        <v>64.062148447552616</v>
      </c>
      <c r="Q56">
        <f t="shared" si="14"/>
        <v>207.1476993378817</v>
      </c>
      <c r="R56" s="7"/>
    </row>
    <row r="57" spans="2:18" x14ac:dyDescent="0.3">
      <c r="B57">
        <f t="shared" si="15"/>
        <v>0.43000000000000022</v>
      </c>
      <c r="C57">
        <f t="shared" si="3"/>
        <v>0.86989152563700167</v>
      </c>
      <c r="D57" s="6">
        <f t="shared" si="1"/>
        <v>0.66666666666666663</v>
      </c>
      <c r="E57" s="6">
        <f t="shared" si="9"/>
        <v>0.375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215.99</v>
      </c>
      <c r="L57">
        <f t="shared" si="10"/>
        <v>190.662398</v>
      </c>
      <c r="M57">
        <f t="shared" si="8"/>
        <v>0.65676562408994643</v>
      </c>
      <c r="N57">
        <f t="shared" si="11"/>
        <v>207.29669633423177</v>
      </c>
      <c r="O57">
        <f t="shared" si="12"/>
        <v>141.85480714718753</v>
      </c>
      <c r="P57">
        <f t="shared" si="13"/>
        <v>65.441889187044239</v>
      </c>
      <c r="Q57">
        <f t="shared" si="14"/>
        <v>207.29669633423177</v>
      </c>
      <c r="R57" s="7"/>
    </row>
    <row r="58" spans="2:18" x14ac:dyDescent="0.3">
      <c r="B58">
        <f t="shared" si="15"/>
        <v>0.44000000000000022</v>
      </c>
      <c r="C58">
        <f t="shared" si="3"/>
        <v>0.8455347349164648</v>
      </c>
      <c r="D58" s="6">
        <f t="shared" si="1"/>
        <v>0.66666666666666663</v>
      </c>
      <c r="E58" s="6">
        <f t="shared" si="9"/>
        <v>0.375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216.86</v>
      </c>
      <c r="L58">
        <f t="shared" si="10"/>
        <v>190.00380799999999</v>
      </c>
      <c r="M58">
        <f t="shared" si="8"/>
        <v>0.64751658277910762</v>
      </c>
      <c r="N58">
        <f t="shared" si="11"/>
        <v>207.39363767029963</v>
      </c>
      <c r="O58">
        <f t="shared" si="12"/>
        <v>140.4204461414773</v>
      </c>
      <c r="P58">
        <f t="shared" si="13"/>
        <v>66.973191528822326</v>
      </c>
      <c r="Q58">
        <f t="shared" si="14"/>
        <v>207.39363767029963</v>
      </c>
      <c r="R58" s="4"/>
    </row>
    <row r="59" spans="2:18" x14ac:dyDescent="0.3">
      <c r="B59" s="13">
        <f t="shared" si="15"/>
        <v>0.45000000000000023</v>
      </c>
      <c r="C59" s="13">
        <f t="shared" si="3"/>
        <v>0.81757447619364298</v>
      </c>
      <c r="D59" s="14">
        <f t="shared" si="1"/>
        <v>0.66666666666666663</v>
      </c>
      <c r="E59" s="14">
        <f t="shared" si="9"/>
        <v>0.375</v>
      </c>
      <c r="F59" s="15">
        <f t="shared" si="4"/>
        <v>0.1012500000000001</v>
      </c>
      <c r="G59" s="15">
        <f t="shared" si="5"/>
        <v>-4.1006250000000084E-2</v>
      </c>
      <c r="H59" s="13">
        <f t="shared" si="16"/>
        <v>20.250000000000021</v>
      </c>
      <c r="I59" s="13">
        <f t="shared" si="16"/>
        <v>-8.2012500000000177</v>
      </c>
      <c r="J59" s="13">
        <f t="shared" si="6"/>
        <v>12.048750000000004</v>
      </c>
      <c r="K59" s="13">
        <f t="shared" si="7"/>
        <v>217.75000000000003</v>
      </c>
      <c r="L59" s="13">
        <f t="shared" si="10"/>
        <v>189.29874999999998</v>
      </c>
      <c r="M59" s="13">
        <f t="shared" si="8"/>
        <v>0.63725719471276143</v>
      </c>
      <c r="N59" s="13">
        <f t="shared" si="11"/>
        <v>207.42951376107146</v>
      </c>
      <c r="O59" s="13">
        <f t="shared" si="12"/>
        <v>138.76275414870381</v>
      </c>
      <c r="P59" s="13">
        <f t="shared" si="13"/>
        <v>68.666759612367642</v>
      </c>
      <c r="Q59" s="13">
        <f t="shared" si="14"/>
        <v>207.42951376107146</v>
      </c>
      <c r="R59" s="7"/>
    </row>
    <row r="60" spans="2:18" x14ac:dyDescent="0.3">
      <c r="B60">
        <f t="shared" si="15"/>
        <v>0.46000000000000024</v>
      </c>
      <c r="C60">
        <f t="shared" si="3"/>
        <v>0.78583498304255794</v>
      </c>
      <c r="D60" s="6">
        <f t="shared" si="1"/>
        <v>0.66666666666666663</v>
      </c>
      <c r="E60" s="6">
        <f t="shared" si="9"/>
        <v>0.375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218.66000000000003</v>
      </c>
      <c r="L60">
        <f t="shared" si="10"/>
        <v>188.54508799999999</v>
      </c>
      <c r="M60">
        <f t="shared" si="8"/>
        <v>0.62593756522182542</v>
      </c>
      <c r="N60">
        <f t="shared" si="11"/>
        <v>207.39514269414957</v>
      </c>
      <c r="O60">
        <f t="shared" si="12"/>
        <v>136.86750801140437</v>
      </c>
      <c r="P60">
        <f t="shared" si="13"/>
        <v>70.527634682745187</v>
      </c>
      <c r="Q60">
        <f t="shared" si="14"/>
        <v>207.39514269414957</v>
      </c>
      <c r="R60" s="7"/>
    </row>
    <row r="61" spans="2:18" x14ac:dyDescent="0.3">
      <c r="B61">
        <f t="shared" si="15"/>
        <v>0.47000000000000025</v>
      </c>
      <c r="C61">
        <f t="shared" si="3"/>
        <v>0.7502601055951168</v>
      </c>
      <c r="D61" s="6">
        <f t="shared" si="1"/>
        <v>0.66666666666666663</v>
      </c>
      <c r="E61" s="6">
        <f t="shared" si="9"/>
        <v>0.375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219.59000000000003</v>
      </c>
      <c r="L61">
        <f t="shared" si="10"/>
        <v>187.74063799999999</v>
      </c>
      <c r="M61">
        <f t="shared" si="8"/>
        <v>0.61354582030055849</v>
      </c>
      <c r="N61">
        <f t="shared" si="11"/>
        <v>207.28168093433948</v>
      </c>
      <c r="O61">
        <f t="shared" si="12"/>
        <v>134.72852667979967</v>
      </c>
      <c r="P61">
        <f t="shared" si="13"/>
        <v>72.553154254539791</v>
      </c>
      <c r="Q61">
        <f t="shared" si="14"/>
        <v>207.28168093433948</v>
      </c>
      <c r="R61" s="7"/>
    </row>
    <row r="62" spans="2:18" x14ac:dyDescent="0.3">
      <c r="B62">
        <f t="shared" si="15"/>
        <v>0.48000000000000026</v>
      </c>
      <c r="C62">
        <f t="shared" si="3"/>
        <v>0.710949502625003</v>
      </c>
      <c r="D62" s="6">
        <f t="shared" si="1"/>
        <v>0.66666666666666663</v>
      </c>
      <c r="E62" s="6">
        <f t="shared" si="9"/>
        <v>0.375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220.54000000000002</v>
      </c>
      <c r="L62">
        <f t="shared" si="10"/>
        <v>186.88316799999998</v>
      </c>
      <c r="M62">
        <f t="shared" si="8"/>
        <v>0.60011876133556041</v>
      </c>
      <c r="N62">
        <f t="shared" si="11"/>
        <v>207.08126433031907</v>
      </c>
      <c r="O62">
        <f t="shared" si="12"/>
        <v>132.3501916249445</v>
      </c>
      <c r="P62">
        <f t="shared" si="13"/>
        <v>74.731072705374558</v>
      </c>
      <c r="Q62">
        <f t="shared" si="14"/>
        <v>207.08126433031907</v>
      </c>
      <c r="R62" s="7"/>
    </row>
    <row r="63" spans="2:18" x14ac:dyDescent="0.3">
      <c r="B63">
        <f t="shared" si="15"/>
        <v>0.49000000000000027</v>
      </c>
      <c r="C63">
        <f t="shared" si="3"/>
        <v>0.66818777216816505</v>
      </c>
      <c r="D63" s="6">
        <f t="shared" si="1"/>
        <v>0.66666666666666663</v>
      </c>
      <c r="E63" s="6">
        <f t="shared" si="9"/>
        <v>0.375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221.51000000000002</v>
      </c>
      <c r="L63">
        <f t="shared" si="10"/>
        <v>185.97039799999999</v>
      </c>
      <c r="M63">
        <f t="shared" si="8"/>
        <v>0.58575014594559205</v>
      </c>
      <c r="N63">
        <f t="shared" si="11"/>
        <v>206.78772505834826</v>
      </c>
      <c r="O63">
        <f t="shared" si="12"/>
        <v>129.74951482840811</v>
      </c>
      <c r="P63">
        <f t="shared" si="13"/>
        <v>77.038210229940162</v>
      </c>
      <c r="Q63">
        <f t="shared" si="14"/>
        <v>206.78772505834826</v>
      </c>
      <c r="R63" s="7"/>
    </row>
    <row r="64" spans="2:18" x14ac:dyDescent="0.3">
      <c r="B64">
        <f t="shared" si="15"/>
        <v>0.50000000000000022</v>
      </c>
      <c r="C64">
        <f t="shared" si="3"/>
        <v>0.62245933120185359</v>
      </c>
      <c r="D64" s="6">
        <f t="shared" si="1"/>
        <v>0.66666666666666663</v>
      </c>
      <c r="E64" s="6">
        <f t="shared" si="9"/>
        <v>0.375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222.50000000000003</v>
      </c>
      <c r="L64">
        <f t="shared" si="10"/>
        <v>184.99999999999997</v>
      </c>
      <c r="M64">
        <f t="shared" si="8"/>
        <v>0.57059442661378168</v>
      </c>
      <c r="N64">
        <f t="shared" si="11"/>
        <v>206.39729099801684</v>
      </c>
      <c r="O64">
        <f t="shared" si="12"/>
        <v>126.95725992156645</v>
      </c>
      <c r="P64">
        <f t="shared" si="13"/>
        <v>79.440031076450381</v>
      </c>
      <c r="Q64">
        <f t="shared" si="14"/>
        <v>206.39729099801684</v>
      </c>
      <c r="R64" s="7"/>
    </row>
    <row r="65" spans="2:18" x14ac:dyDescent="0.3">
      <c r="B65">
        <f t="shared" si="15"/>
        <v>0.51000000000000023</v>
      </c>
      <c r="C65">
        <f t="shared" si="3"/>
        <v>0.57444251681165803</v>
      </c>
      <c r="D65" s="6">
        <f t="shared" si="1"/>
        <v>0.66666666666666663</v>
      </c>
      <c r="E65" s="6">
        <f t="shared" si="9"/>
        <v>0.375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223.51000000000002</v>
      </c>
      <c r="L65">
        <f t="shared" si="10"/>
        <v>183.96959799999999</v>
      </c>
      <c r="M65">
        <f t="shared" si="8"/>
        <v>0.55486403367034998</v>
      </c>
      <c r="N65">
        <f t="shared" si="11"/>
        <v>205.9091449466672</v>
      </c>
      <c r="O65">
        <f t="shared" si="12"/>
        <v>124.01766016565993</v>
      </c>
      <c r="P65">
        <f t="shared" si="13"/>
        <v>81.89148478100725</v>
      </c>
      <c r="Q65">
        <f t="shared" si="14"/>
        <v>205.9091449466672</v>
      </c>
      <c r="R65" s="7"/>
    </row>
    <row r="66" spans="2:18" x14ac:dyDescent="0.3">
      <c r="B66">
        <f t="shared" si="15"/>
        <v>0.52000000000000024</v>
      </c>
      <c r="C66">
        <f t="shared" si="3"/>
        <v>0.5249791874789389</v>
      </c>
      <c r="D66" s="6">
        <f t="shared" si="1"/>
        <v>0.66666666666666663</v>
      </c>
      <c r="E66" s="6">
        <f t="shared" si="9"/>
        <v>0.375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224.54000000000002</v>
      </c>
      <c r="L66">
        <f t="shared" si="10"/>
        <v>182.87676799999997</v>
      </c>
      <c r="M66">
        <f t="shared" si="8"/>
        <v>0.53881919477130502</v>
      </c>
      <c r="N66">
        <f t="shared" si="11"/>
        <v>205.32571711781006</v>
      </c>
      <c r="O66">
        <f t="shared" si="12"/>
        <v>120.98646199394884</v>
      </c>
      <c r="P66">
        <f t="shared" si="13"/>
        <v>84.339255123861221</v>
      </c>
      <c r="Q66">
        <f t="shared" si="14"/>
        <v>205.32571711781006</v>
      </c>
      <c r="R66" s="7"/>
    </row>
    <row r="67" spans="2:18" x14ac:dyDescent="0.3">
      <c r="B67">
        <f t="shared" si="15"/>
        <v>0.53000000000000025</v>
      </c>
      <c r="C67">
        <f t="shared" si="3"/>
        <v>0.47502081252105888</v>
      </c>
      <c r="D67" s="6">
        <f t="shared" si="1"/>
        <v>0.66666666666666663</v>
      </c>
      <c r="E67" s="6">
        <f t="shared" si="9"/>
        <v>0.375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225.59000000000003</v>
      </c>
      <c r="L67">
        <f t="shared" si="10"/>
        <v>181.71903799999998</v>
      </c>
      <c r="M67">
        <f t="shared" si="8"/>
        <v>0.52275074647072961</v>
      </c>
      <c r="N67">
        <f t="shared" si="11"/>
        <v>204.65261613388901</v>
      </c>
      <c r="O67">
        <f t="shared" si="12"/>
        <v>117.92734089633191</v>
      </c>
      <c r="P67">
        <f t="shared" si="13"/>
        <v>86.725275237557113</v>
      </c>
      <c r="Q67">
        <f t="shared" si="14"/>
        <v>204.65261613388901</v>
      </c>
      <c r="R67" s="7"/>
    </row>
    <row r="68" spans="2:18" x14ac:dyDescent="0.3">
      <c r="B68">
        <f t="shared" si="15"/>
        <v>0.54000000000000026</v>
      </c>
      <c r="C68">
        <f t="shared" si="3"/>
        <v>0.42555748318833986</v>
      </c>
      <c r="D68" s="6">
        <f t="shared" si="1"/>
        <v>0.66666666666666663</v>
      </c>
      <c r="E68" s="6">
        <f t="shared" si="9"/>
        <v>0.375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226.66000000000003</v>
      </c>
      <c r="L68">
        <f t="shared" si="10"/>
        <v>180.49388799999997</v>
      </c>
      <c r="M68">
        <f t="shared" si="8"/>
        <v>0.5069580426807081</v>
      </c>
      <c r="N68">
        <f t="shared" si="11"/>
        <v>203.89816977769834</v>
      </c>
      <c r="O68">
        <f t="shared" si="12"/>
        <v>114.90710995400931</v>
      </c>
      <c r="P68">
        <f t="shared" si="13"/>
        <v>88.991059823689042</v>
      </c>
      <c r="Q68">
        <f t="shared" si="14"/>
        <v>203.89816977769834</v>
      </c>
      <c r="R68" s="7"/>
    </row>
    <row r="69" spans="2:18" x14ac:dyDescent="0.3">
      <c r="B69">
        <f t="shared" si="15"/>
        <v>0.55000000000000027</v>
      </c>
      <c r="C69">
        <f t="shared" si="3"/>
        <v>0.3775406687981443</v>
      </c>
      <c r="D69" s="6">
        <f t="shared" si="1"/>
        <v>0.66666666666666663</v>
      </c>
      <c r="E69" s="6">
        <f t="shared" si="9"/>
        <v>0.375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227.75000000000003</v>
      </c>
      <c r="L69">
        <f t="shared" si="10"/>
        <v>179.19874999999996</v>
      </c>
      <c r="M69">
        <f t="shared" si="8"/>
        <v>0.49172534978725069</v>
      </c>
      <c r="N69">
        <f t="shared" si="11"/>
        <v>203.07263038885824</v>
      </c>
      <c r="O69">
        <f t="shared" si="12"/>
        <v>111.99044841404636</v>
      </c>
      <c r="P69">
        <f t="shared" si="13"/>
        <v>91.082181974811888</v>
      </c>
      <c r="Q69">
        <f t="shared" si="14"/>
        <v>203.07263038885824</v>
      </c>
      <c r="R69" s="7"/>
    </row>
    <row r="70" spans="2:18" x14ac:dyDescent="0.3">
      <c r="B70">
        <f t="shared" si="15"/>
        <v>0.56000000000000028</v>
      </c>
      <c r="C70">
        <f t="shared" si="3"/>
        <v>0.33181222783183273</v>
      </c>
      <c r="D70" s="6">
        <f t="shared" si="1"/>
        <v>0.66666666666666663</v>
      </c>
      <c r="E70" s="6">
        <f t="shared" si="9"/>
        <v>0.375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228.86000000000004</v>
      </c>
      <c r="L70">
        <f t="shared" si="10"/>
        <v>177.83100799999997</v>
      </c>
      <c r="M70">
        <f t="shared" si="8"/>
        <v>0.47730055023070772</v>
      </c>
      <c r="N70">
        <f t="shared" si="11"/>
        <v>202.18717395931839</v>
      </c>
      <c r="O70">
        <f t="shared" si="12"/>
        <v>109.23500392579979</v>
      </c>
      <c r="P70">
        <f t="shared" si="13"/>
        <v>92.952170033518598</v>
      </c>
      <c r="Q70">
        <f t="shared" si="14"/>
        <v>202.18717395931839</v>
      </c>
      <c r="R70" s="7"/>
    </row>
    <row r="71" spans="2:18" x14ac:dyDescent="0.3">
      <c r="B71">
        <f t="shared" si="15"/>
        <v>0.57000000000000028</v>
      </c>
      <c r="C71">
        <f t="shared" si="3"/>
        <v>0.289050497374995</v>
      </c>
      <c r="D71" s="6">
        <f t="shared" si="1"/>
        <v>0.66666666666666663</v>
      </c>
      <c r="E71" s="6">
        <f t="shared" si="9"/>
        <v>0.375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229.99000000000004</v>
      </c>
      <c r="L71">
        <f t="shared" si="10"/>
        <v>176.38799799999995</v>
      </c>
      <c r="M71">
        <f t="shared" si="8"/>
        <v>0.46387937788554812</v>
      </c>
      <c r="N71">
        <f t="shared" si="11"/>
        <v>201.25286134117988</v>
      </c>
      <c r="O71">
        <f t="shared" si="12"/>
        <v>106.68761811989722</v>
      </c>
      <c r="P71">
        <f t="shared" si="13"/>
        <v>94.565243221282671</v>
      </c>
      <c r="Q71">
        <f t="shared" si="14"/>
        <v>201.25286134117988</v>
      </c>
      <c r="R71" s="4"/>
    </row>
    <row r="72" spans="2:18" x14ac:dyDescent="0.3">
      <c r="B72">
        <f t="shared" si="15"/>
        <v>0.58000000000000029</v>
      </c>
      <c r="C72">
        <f t="shared" si="3"/>
        <v>0.24973989440488131</v>
      </c>
      <c r="D72" s="6">
        <f t="shared" si="1"/>
        <v>0.66666666666666663</v>
      </c>
      <c r="E72" s="6">
        <f t="shared" si="9"/>
        <v>0.375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231.14000000000004</v>
      </c>
      <c r="L72">
        <f t="shared" si="10"/>
        <v>174.86700799999994</v>
      </c>
      <c r="M72">
        <f t="shared" si="8"/>
        <v>0.45159701124472157</v>
      </c>
      <c r="N72">
        <f t="shared" si="11"/>
        <v>200.2797230009981</v>
      </c>
      <c r="O72">
        <f t="shared" si="12"/>
        <v>104.38213317910497</v>
      </c>
      <c r="P72">
        <f t="shared" si="13"/>
        <v>95.897589821893135</v>
      </c>
      <c r="Q72">
        <f t="shared" si="14"/>
        <v>200.2797230009981</v>
      </c>
      <c r="R72" s="4"/>
    </row>
    <row r="73" spans="2:18" x14ac:dyDescent="0.3">
      <c r="B73">
        <f t="shared" si="15"/>
        <v>0.5900000000000003</v>
      </c>
      <c r="C73">
        <f t="shared" si="3"/>
        <v>0.2141650169574405</v>
      </c>
      <c r="D73" s="6">
        <f t="shared" si="1"/>
        <v>0.66666666666666663</v>
      </c>
      <c r="E73" s="6">
        <f t="shared" si="9"/>
        <v>0.375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232.31000000000003</v>
      </c>
      <c r="L73">
        <f t="shared" si="10"/>
        <v>173.26527799999994</v>
      </c>
      <c r="M73">
        <f t="shared" si="8"/>
        <v>0.4405271723176275</v>
      </c>
      <c r="N73">
        <f t="shared" si="11"/>
        <v>199.27608242294039</v>
      </c>
      <c r="O73">
        <f t="shared" si="12"/>
        <v>102.33886740110806</v>
      </c>
      <c r="P73">
        <f t="shared" si="13"/>
        <v>96.93721502183233</v>
      </c>
      <c r="Q73">
        <f t="shared" si="14"/>
        <v>199.27608242294039</v>
      </c>
      <c r="R73" s="4"/>
    </row>
    <row r="74" spans="2:18" x14ac:dyDescent="0.3">
      <c r="B74">
        <f t="shared" si="15"/>
        <v>0.60000000000000031</v>
      </c>
      <c r="C74">
        <f t="shared" si="3"/>
        <v>0.18242552380635546</v>
      </c>
      <c r="D74" s="6">
        <f t="shared" si="1"/>
        <v>0.66666666666666663</v>
      </c>
      <c r="E74" s="6">
        <f t="shared" si="9"/>
        <v>0.375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233.50000000000003</v>
      </c>
      <c r="L74">
        <f t="shared" si="10"/>
        <v>171.57999999999996</v>
      </c>
      <c r="M74">
        <f t="shared" si="8"/>
        <v>0.43068746506758881</v>
      </c>
      <c r="N74">
        <f t="shared" si="11"/>
        <v>198.24816783698509</v>
      </c>
      <c r="O74">
        <f t="shared" si="12"/>
        <v>100.565523093282</v>
      </c>
      <c r="P74">
        <f t="shared" si="13"/>
        <v>97.682644743703079</v>
      </c>
      <c r="Q74">
        <f t="shared" si="14"/>
        <v>198.24816783698509</v>
      </c>
      <c r="R74" s="4"/>
    </row>
    <row r="75" spans="2:18" x14ac:dyDescent="0.3">
      <c r="B75">
        <f t="shared" si="15"/>
        <v>0.61000000000000032</v>
      </c>
      <c r="C75">
        <f t="shared" si="3"/>
        <v>0.15446526508353398</v>
      </c>
      <c r="D75" s="6">
        <f t="shared" si="1"/>
        <v>0.66666666666666663</v>
      </c>
      <c r="E75" s="6">
        <f t="shared" si="9"/>
        <v>0.375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234.71000000000004</v>
      </c>
      <c r="L75">
        <f t="shared" si="10"/>
        <v>169.80831799999993</v>
      </c>
      <c r="M75">
        <f t="shared" si="8"/>
        <v>0.42204887816208048</v>
      </c>
      <c r="N75">
        <f t="shared" si="11"/>
        <v>197.20000007893208</v>
      </c>
      <c r="O75">
        <f t="shared" si="12"/>
        <v>99.059092193421918</v>
      </c>
      <c r="P75">
        <f t="shared" si="13"/>
        <v>98.140907885510146</v>
      </c>
      <c r="Q75">
        <f t="shared" si="14"/>
        <v>197.20000007893208</v>
      </c>
      <c r="R75" s="4"/>
    </row>
    <row r="76" spans="2:18" x14ac:dyDescent="0.3">
      <c r="B76">
        <f t="shared" si="15"/>
        <v>0.62000000000000033</v>
      </c>
      <c r="C76">
        <f t="shared" si="3"/>
        <v>0.13010847436299722</v>
      </c>
      <c r="D76" s="6">
        <f t="shared" si="1"/>
        <v>0.66666666666666663</v>
      </c>
      <c r="E76" s="6">
        <f t="shared" si="9"/>
        <v>0.375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235.94000000000005</v>
      </c>
      <c r="L76">
        <f t="shared" si="10"/>
        <v>167.94732799999994</v>
      </c>
      <c r="M76">
        <f t="shared" si="8"/>
        <v>0.41454722725643867</v>
      </c>
      <c r="N76">
        <f t="shared" si="11"/>
        <v>196.13350165135648</v>
      </c>
      <c r="O76">
        <f t="shared" si="12"/>
        <v>97.808272798884161</v>
      </c>
      <c r="P76">
        <f t="shared" si="13"/>
        <v>98.325228852472321</v>
      </c>
      <c r="Q76">
        <f t="shared" si="14"/>
        <v>196.13350165135648</v>
      </c>
      <c r="R76" s="4"/>
    </row>
    <row r="77" spans="2:18" x14ac:dyDescent="0.3">
      <c r="B77">
        <f t="shared" si="15"/>
        <v>0.63000000000000034</v>
      </c>
      <c r="C77">
        <f t="shared" si="3"/>
        <v>0.10909682119561237</v>
      </c>
      <c r="D77" s="6">
        <f t="shared" si="1"/>
        <v>0.66666666666666663</v>
      </c>
      <c r="E77" s="6">
        <f t="shared" si="9"/>
        <v>0.375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237.19000000000005</v>
      </c>
      <c r="L77">
        <f t="shared" si="10"/>
        <v>165.99407799999994</v>
      </c>
      <c r="M77">
        <f t="shared" si="8"/>
        <v>0.40809465645096876</v>
      </c>
      <c r="N77">
        <f t="shared" si="11"/>
        <v>195.04875332929996</v>
      </c>
      <c r="O77">
        <f t="shared" si="12"/>
        <v>96.795971563605306</v>
      </c>
      <c r="P77">
        <f t="shared" si="13"/>
        <v>98.25278176569465</v>
      </c>
      <c r="Q77">
        <f t="shared" si="14"/>
        <v>195.04875332929996</v>
      </c>
      <c r="R77" s="4"/>
    </row>
    <row r="78" spans="2:18" x14ac:dyDescent="0.3">
      <c r="B78">
        <f t="shared" si="15"/>
        <v>0.64000000000000035</v>
      </c>
      <c r="C78">
        <f t="shared" si="3"/>
        <v>9.1122961014855619E-2</v>
      </c>
      <c r="D78" s="6">
        <f t="shared" ref="D78:D114" si="17">$D$10/($D$10+$B$10)</f>
        <v>0.66666666666666663</v>
      </c>
      <c r="E78" s="6">
        <f t="shared" si="9"/>
        <v>0.375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238.46000000000004</v>
      </c>
      <c r="L78">
        <f t="shared" si="10"/>
        <v>163.94556799999992</v>
      </c>
      <c r="M78">
        <f t="shared" si="8"/>
        <v>0.40258990570344938</v>
      </c>
      <c r="N78">
        <f t="shared" si="11"/>
        <v>193.94432615242607</v>
      </c>
      <c r="O78">
        <f t="shared" si="12"/>
        <v>96.001588914044561</v>
      </c>
      <c r="P78">
        <f t="shared" si="13"/>
        <v>97.942737238381497</v>
      </c>
      <c r="Q78">
        <f t="shared" si="14"/>
        <v>193.94432615242607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7.5858180021243116E-2</v>
      </c>
      <c r="D79" s="6">
        <f t="shared" si="17"/>
        <v>0.66666666666666663</v>
      </c>
      <c r="E79" s="6">
        <f t="shared" si="9"/>
        <v>0.375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239.75000000000006</v>
      </c>
      <c r="L79">
        <f t="shared" si="10"/>
        <v>161.79874999999993</v>
      </c>
      <c r="M79">
        <f t="shared" ref="M79:M114" si="24">C79*D79^(1-EXP(-5*B79))+(1-C79)*E79</f>
        <v>0.39792665935556465</v>
      </c>
      <c r="N79">
        <f t="shared" si="11"/>
        <v>192.81763050509045</v>
      </c>
      <c r="O79">
        <f t="shared" si="12"/>
        <v>95.402916580496651</v>
      </c>
      <c r="P79">
        <f t="shared" si="13"/>
        <v>97.414713924593798</v>
      </c>
      <c r="Q79">
        <f t="shared" si="14"/>
        <v>192.81763050509045</v>
      </c>
      <c r="R79" s="4"/>
    </row>
    <row r="80" spans="2:18" x14ac:dyDescent="0.3">
      <c r="B80">
        <f t="shared" si="15"/>
        <v>0.66000000000000036</v>
      </c>
      <c r="C80">
        <f t="shared" si="19"/>
        <v>6.2973356056996055E-2</v>
      </c>
      <c r="D80" s="6">
        <f t="shared" si="17"/>
        <v>0.66666666666666663</v>
      </c>
      <c r="E80" s="6">
        <f t="shared" ref="E80:E114" si="25">$E$10/($E$10+$C$10)</f>
        <v>0.375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241.06000000000006</v>
      </c>
      <c r="L80">
        <f t="shared" ref="L80:L114" si="26">$G$10+I80</f>
        <v>159.55052799999993</v>
      </c>
      <c r="M80">
        <f t="shared" si="24"/>
        <v>0.39399978448021122</v>
      </c>
      <c r="N80">
        <f t="shared" ref="N80:N114" si="27">M80*K80+(1-M80)*L80</f>
        <v>191.66524240109578</v>
      </c>
      <c r="O80">
        <f t="shared" ref="O80:O114" si="28">K80*M80</f>
        <v>94.977588046799738</v>
      </c>
      <c r="P80">
        <f t="shared" ref="P80:P114" si="29">(1-M80)*L80</f>
        <v>96.687654354296058</v>
      </c>
      <c r="Q80">
        <f t="shared" ref="Q80:Q114" si="30">P80+O80</f>
        <v>191.66524240109578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5.2153563078417453E-2</v>
      </c>
      <c r="D81" s="6">
        <f t="shared" si="17"/>
        <v>0.66666666666666663</v>
      </c>
      <c r="E81" s="6">
        <f t="shared" si="25"/>
        <v>0.375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242.39000000000004</v>
      </c>
      <c r="L81">
        <f t="shared" si="26"/>
        <v>157.19775799999991</v>
      </c>
      <c r="M81">
        <f t="shared" si="24"/>
        <v>0.39070959700795427</v>
      </c>
      <c r="N81">
        <f t="shared" si="27"/>
        <v>190.48318454002407</v>
      </c>
      <c r="O81">
        <f t="shared" si="28"/>
        <v>94.704099218758046</v>
      </c>
      <c r="P81">
        <f t="shared" si="29"/>
        <v>95.779085321266024</v>
      </c>
      <c r="Q81">
        <f t="shared" si="30"/>
        <v>190.48318454002407</v>
      </c>
      <c r="R81" s="4"/>
    </row>
    <row r="82" spans="2:18" x14ac:dyDescent="0.3">
      <c r="B82">
        <f t="shared" si="31"/>
        <v>0.68000000000000038</v>
      </c>
      <c r="C82">
        <f t="shared" si="19"/>
        <v>4.3107254941085915E-2</v>
      </c>
      <c r="D82" s="6">
        <f t="shared" si="17"/>
        <v>0.66666666666666663</v>
      </c>
      <c r="E82" s="6">
        <f t="shared" si="25"/>
        <v>0.375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243.74000000000007</v>
      </c>
      <c r="L82">
        <f t="shared" si="26"/>
        <v>154.73724799999991</v>
      </c>
      <c r="M82">
        <f t="shared" si="24"/>
        <v>0.38796446853727007</v>
      </c>
      <c r="N82">
        <f t="shared" si="27"/>
        <v>189.26715337803444</v>
      </c>
      <c r="O82">
        <f t="shared" si="28"/>
        <v>94.562459561274238</v>
      </c>
      <c r="P82">
        <f t="shared" si="29"/>
        <v>94.704693816760184</v>
      </c>
      <c r="Q82">
        <f t="shared" si="30"/>
        <v>189.26715337803444</v>
      </c>
      <c r="R82" s="4"/>
    </row>
    <row r="83" spans="2:18" x14ac:dyDescent="0.3">
      <c r="B83">
        <f t="shared" si="31"/>
        <v>0.69000000000000039</v>
      </c>
      <c r="C83">
        <f t="shared" si="19"/>
        <v>3.5571189272635917E-2</v>
      </c>
      <c r="D83" s="6">
        <f t="shared" si="17"/>
        <v>0.66666666666666663</v>
      </c>
      <c r="E83" s="6">
        <f t="shared" si="25"/>
        <v>0.375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245.11000000000004</v>
      </c>
      <c r="L83">
        <f t="shared" si="26"/>
        <v>152.1657579999999</v>
      </c>
      <c r="M83">
        <f t="shared" si="24"/>
        <v>0.38568214541477891</v>
      </c>
      <c r="N83">
        <f t="shared" si="27"/>
        <v>188.01269265851033</v>
      </c>
      <c r="O83">
        <f t="shared" si="28"/>
        <v>94.534550662616468</v>
      </c>
      <c r="P83">
        <f t="shared" si="29"/>
        <v>93.478141995893864</v>
      </c>
      <c r="Q83">
        <f t="shared" si="30"/>
        <v>188.01269265851033</v>
      </c>
      <c r="R83" s="4"/>
    </row>
    <row r="84" spans="2:18" x14ac:dyDescent="0.3">
      <c r="B84">
        <f t="shared" si="31"/>
        <v>0.7000000000000004</v>
      </c>
      <c r="C84">
        <f t="shared" si="19"/>
        <v>2.931223075135625E-2</v>
      </c>
      <c r="D84" s="6">
        <f t="shared" si="17"/>
        <v>0.66666666666666663</v>
      </c>
      <c r="E84" s="6">
        <f t="shared" si="25"/>
        <v>0.375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246.50000000000006</v>
      </c>
      <c r="L84">
        <f t="shared" si="26"/>
        <v>149.4799999999999</v>
      </c>
      <c r="M84">
        <f t="shared" si="24"/>
        <v>0.38379013709745108</v>
      </c>
      <c r="N84">
        <f t="shared" si="27"/>
        <v>186.71531910119467</v>
      </c>
      <c r="O84">
        <f t="shared" si="28"/>
        <v>94.604268794521715</v>
      </c>
      <c r="P84">
        <f t="shared" si="29"/>
        <v>92.111050306672965</v>
      </c>
      <c r="Q84">
        <f t="shared" si="30"/>
        <v>186.71531910119467</v>
      </c>
      <c r="R84" s="4"/>
    </row>
    <row r="85" spans="2:18" x14ac:dyDescent="0.3">
      <c r="B85">
        <f t="shared" si="31"/>
        <v>0.71000000000000041</v>
      </c>
      <c r="C85">
        <f t="shared" si="19"/>
        <v>2.4127021417668981E-2</v>
      </c>
      <c r="D85" s="6">
        <f t="shared" si="17"/>
        <v>0.66666666666666663</v>
      </c>
      <c r="E85" s="6">
        <f t="shared" si="25"/>
        <v>0.375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247.91000000000005</v>
      </c>
      <c r="L85">
        <f t="shared" si="26"/>
        <v>146.67663799999991</v>
      </c>
      <c r="M85">
        <f t="shared" si="24"/>
        <v>0.38222547878679797</v>
      </c>
      <c r="N85">
        <f t="shared" si="27"/>
        <v>185.37060825964721</v>
      </c>
      <c r="O85">
        <f t="shared" si="28"/>
        <v>94.757518446035107</v>
      </c>
      <c r="P85">
        <f t="shared" si="29"/>
        <v>90.613089813612092</v>
      </c>
      <c r="Q85">
        <f t="shared" si="30"/>
        <v>185.37060825964721</v>
      </c>
      <c r="R85" s="4"/>
    </row>
    <row r="86" spans="2:18" x14ac:dyDescent="0.3">
      <c r="B86">
        <f t="shared" si="31"/>
        <v>0.72000000000000042</v>
      </c>
      <c r="C86">
        <f t="shared" si="19"/>
        <v>1.9840305734077246E-2</v>
      </c>
      <c r="D86" s="6">
        <f t="shared" si="17"/>
        <v>0.66666666666666663</v>
      </c>
      <c r="E86" s="6">
        <f t="shared" si="25"/>
        <v>0.375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249.34000000000006</v>
      </c>
      <c r="L86">
        <f t="shared" si="26"/>
        <v>143.75228799999985</v>
      </c>
      <c r="M86">
        <f t="shared" si="24"/>
        <v>0.38093410864466193</v>
      </c>
      <c r="N86">
        <f t="shared" si="27"/>
        <v>183.97424895454918</v>
      </c>
      <c r="O86">
        <f t="shared" si="28"/>
        <v>94.982110649460026</v>
      </c>
      <c r="P86">
        <f t="shared" si="29"/>
        <v>88.992138305089171</v>
      </c>
      <c r="Q86">
        <f t="shared" si="30"/>
        <v>183.97424895454918</v>
      </c>
      <c r="R86" s="4"/>
    </row>
    <row r="87" spans="2:18" x14ac:dyDescent="0.3">
      <c r="B87">
        <f t="shared" si="31"/>
        <v>0.73000000000000043</v>
      </c>
      <c r="C87">
        <f t="shared" si="19"/>
        <v>1.6302499371440904E-2</v>
      </c>
      <c r="D87" s="6">
        <f t="shared" si="17"/>
        <v>0.66666666666666663</v>
      </c>
      <c r="E87" s="6">
        <f t="shared" si="25"/>
        <v>0.375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250.79000000000008</v>
      </c>
      <c r="L87">
        <f t="shared" si="26"/>
        <v>140.70351799999986</v>
      </c>
      <c r="M87">
        <f t="shared" si="24"/>
        <v>0.37987003717481832</v>
      </c>
      <c r="N87">
        <f t="shared" si="27"/>
        <v>182.52207400978494</v>
      </c>
      <c r="O87">
        <f t="shared" si="28"/>
        <v>95.267606623072723</v>
      </c>
      <c r="P87">
        <f t="shared" si="29"/>
        <v>87.254467386712207</v>
      </c>
      <c r="Q87">
        <f t="shared" si="30"/>
        <v>182.52207400978494</v>
      </c>
      <c r="R87" s="4"/>
    </row>
    <row r="88" spans="2:18" x14ac:dyDescent="0.3">
      <c r="B88">
        <f t="shared" si="31"/>
        <v>0.74000000000000044</v>
      </c>
      <c r="C88">
        <f t="shared" si="19"/>
        <v>1.3386917827664657E-2</v>
      </c>
      <c r="D88" s="6">
        <f t="shared" si="17"/>
        <v>0.66666666666666663</v>
      </c>
      <c r="E88" s="6">
        <f t="shared" si="25"/>
        <v>0.375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252.26000000000005</v>
      </c>
      <c r="L88">
        <f t="shared" si="26"/>
        <v>137.52684799999986</v>
      </c>
      <c r="M88">
        <f t="shared" si="24"/>
        <v>0.37899443263993299</v>
      </c>
      <c r="N88">
        <f t="shared" si="27"/>
        <v>181.01007384723113</v>
      </c>
      <c r="O88">
        <f t="shared" si="28"/>
        <v>95.605135577749508</v>
      </c>
      <c r="P88">
        <f t="shared" si="29"/>
        <v>85.404938269481605</v>
      </c>
      <c r="Q88">
        <f t="shared" si="30"/>
        <v>181.01007384723113</v>
      </c>
      <c r="R88" s="4"/>
    </row>
    <row r="89" spans="2:18" x14ac:dyDescent="0.3">
      <c r="B89">
        <f t="shared" si="31"/>
        <v>0.75000000000000044</v>
      </c>
      <c r="C89">
        <f t="shared" si="19"/>
        <v>1.0986942630593188E-2</v>
      </c>
      <c r="D89" s="6">
        <f t="shared" si="17"/>
        <v>0.66666666666666663</v>
      </c>
      <c r="E89" s="6">
        <f t="shared" si="25"/>
        <v>0.375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253.75000000000006</v>
      </c>
      <c r="L89">
        <f t="shared" si="26"/>
        <v>134.21874999999983</v>
      </c>
      <c r="M89">
        <f t="shared" si="24"/>
        <v>0.37827470391495099</v>
      </c>
      <c r="N89">
        <f t="shared" si="27"/>
        <v>179.43439820233391</v>
      </c>
      <c r="O89">
        <f t="shared" si="28"/>
        <v>95.98720611841884</v>
      </c>
      <c r="P89">
        <f t="shared" si="29"/>
        <v>83.44719208391507</v>
      </c>
      <c r="Q89">
        <f t="shared" si="30"/>
        <v>179.43439820233391</v>
      </c>
      <c r="R89" s="4"/>
    </row>
    <row r="90" spans="2:18" x14ac:dyDescent="0.3">
      <c r="B90">
        <f t="shared" si="31"/>
        <v>0.76000000000000045</v>
      </c>
      <c r="C90">
        <f t="shared" si="19"/>
        <v>9.0132986528477232E-3</v>
      </c>
      <c r="D90" s="6">
        <f t="shared" si="17"/>
        <v>0.66666666666666663</v>
      </c>
      <c r="E90" s="6">
        <f t="shared" si="25"/>
        <v>0.375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255.26000000000008</v>
      </c>
      <c r="L90">
        <f t="shared" si="26"/>
        <v>130.77564799999985</v>
      </c>
      <c r="M90">
        <f t="shared" si="24"/>
        <v>0.37768363053525372</v>
      </c>
      <c r="N90">
        <f t="shared" si="27"/>
        <v>177.79135000818837</v>
      </c>
      <c r="O90">
        <f t="shared" si="28"/>
        <v>96.40752353042889</v>
      </c>
      <c r="P90">
        <f t="shared" si="29"/>
        <v>81.383826477759499</v>
      </c>
      <c r="Q90">
        <f t="shared" si="30"/>
        <v>177.79135000818837</v>
      </c>
      <c r="R90" s="4"/>
    </row>
    <row r="91" spans="2:18" x14ac:dyDescent="0.3">
      <c r="B91">
        <f t="shared" si="31"/>
        <v>0.77000000000000046</v>
      </c>
      <c r="C91">
        <f t="shared" si="19"/>
        <v>7.3915413442818823E-3</v>
      </c>
      <c r="D91" s="6">
        <f t="shared" si="17"/>
        <v>0.66666666666666663</v>
      </c>
      <c r="E91" s="6">
        <f t="shared" si="25"/>
        <v>0.375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256.79000000000008</v>
      </c>
      <c r="L91">
        <f t="shared" si="26"/>
        <v>127.19391799999983</v>
      </c>
      <c r="M91">
        <f t="shared" si="24"/>
        <v>0.37719856726205492</v>
      </c>
      <c r="N91">
        <f t="shared" si="27"/>
        <v>176.07737445317571</v>
      </c>
      <c r="O91">
        <f t="shared" si="28"/>
        <v>96.860820087223118</v>
      </c>
      <c r="P91">
        <f t="shared" si="29"/>
        <v>79.216554365952589</v>
      </c>
      <c r="Q91">
        <f t="shared" si="30"/>
        <v>176.07737445317571</v>
      </c>
      <c r="R91" s="4"/>
    </row>
    <row r="92" spans="2:18" x14ac:dyDescent="0.3">
      <c r="B92">
        <f t="shared" si="31"/>
        <v>0.78000000000000047</v>
      </c>
      <c r="C92">
        <f t="shared" si="19"/>
        <v>6.059801491584027E-3</v>
      </c>
      <c r="D92" s="6">
        <f t="shared" si="17"/>
        <v>0.66666666666666663</v>
      </c>
      <c r="E92" s="6">
        <f t="shared" si="25"/>
        <v>0.375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258.34000000000009</v>
      </c>
      <c r="L92">
        <f t="shared" si="26"/>
        <v>123.46988799999983</v>
      </c>
      <c r="M92">
        <f t="shared" si="24"/>
        <v>0.37680073530459945</v>
      </c>
      <c r="N92">
        <f t="shared" si="27"/>
        <v>174.28904537221359</v>
      </c>
      <c r="O92">
        <f t="shared" si="28"/>
        <v>97.342701958590254</v>
      </c>
      <c r="P92">
        <f t="shared" si="29"/>
        <v>76.946343413623353</v>
      </c>
      <c r="Q92">
        <f t="shared" si="30"/>
        <v>174.28904537221359</v>
      </c>
      <c r="R92" s="4"/>
    </row>
    <row r="93" spans="2:18" x14ac:dyDescent="0.3">
      <c r="B93">
        <f t="shared" si="31"/>
        <v>0.79000000000000048</v>
      </c>
      <c r="C93">
        <f t="shared" si="19"/>
        <v>4.9668016500568068E-3</v>
      </c>
      <c r="D93" s="6">
        <f t="shared" si="17"/>
        <v>0.66666666666666663</v>
      </c>
      <c r="E93" s="6">
        <f t="shared" si="25"/>
        <v>0.375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259.91000000000008</v>
      </c>
      <c r="L93">
        <f t="shared" si="26"/>
        <v>119.59983799999981</v>
      </c>
      <c r="M93">
        <f t="shared" si="24"/>
        <v>0.37647460256518228</v>
      </c>
      <c r="N93">
        <f t="shared" si="27"/>
        <v>172.42305047480625</v>
      </c>
      <c r="O93">
        <f t="shared" si="28"/>
        <v>97.849513952716563</v>
      </c>
      <c r="P93">
        <f t="shared" si="29"/>
        <v>74.573536522089697</v>
      </c>
      <c r="Q93">
        <f t="shared" si="30"/>
        <v>172.42305047480625</v>
      </c>
      <c r="R93" s="4"/>
    </row>
    <row r="94" spans="2:18" x14ac:dyDescent="0.3">
      <c r="B94">
        <f t="shared" si="31"/>
        <v>0.80000000000000049</v>
      </c>
      <c r="C94">
        <f t="shared" si="19"/>
        <v>4.0701377158960383E-3</v>
      </c>
      <c r="D94" s="6">
        <f t="shared" si="17"/>
        <v>0.66666666666666663</v>
      </c>
      <c r="E94" s="6">
        <f t="shared" si="25"/>
        <v>0.375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261.50000000000011</v>
      </c>
      <c r="L94">
        <f t="shared" si="26"/>
        <v>115.5799999999998</v>
      </c>
      <c r="M94">
        <f t="shared" si="24"/>
        <v>0.37620734936130684</v>
      </c>
      <c r="N94">
        <f t="shared" si="27"/>
        <v>170.4761764188018</v>
      </c>
      <c r="O94">
        <f t="shared" si="28"/>
        <v>98.378221857981785</v>
      </c>
      <c r="P94">
        <f t="shared" si="29"/>
        <v>72.097954560820028</v>
      </c>
      <c r="Q94">
        <f t="shared" si="30"/>
        <v>170.4761764188018</v>
      </c>
      <c r="R94" s="7"/>
    </row>
    <row r="95" spans="2:18" x14ac:dyDescent="0.3">
      <c r="B95">
        <f t="shared" si="31"/>
        <v>0.8100000000000005</v>
      </c>
      <c r="C95">
        <f t="shared" si="19"/>
        <v>3.3348073074133122E-3</v>
      </c>
      <c r="D95" s="6">
        <f t="shared" si="17"/>
        <v>0.66666666666666663</v>
      </c>
      <c r="E95" s="6">
        <f t="shared" si="25"/>
        <v>0.375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263.11000000000007</v>
      </c>
      <c r="L95">
        <f t="shared" si="26"/>
        <v>111.40655799999979</v>
      </c>
      <c r="M95">
        <f t="shared" si="24"/>
        <v>0.37598841281991907</v>
      </c>
      <c r="N95">
        <f t="shared" si="27"/>
        <v>168.44529437689854</v>
      </c>
      <c r="O95">
        <f t="shared" si="28"/>
        <v>98.92631129704894</v>
      </c>
      <c r="P95">
        <f t="shared" si="29"/>
        <v>69.518983079849605</v>
      </c>
      <c r="Q95">
        <f t="shared" si="30"/>
        <v>168.44529437689854</v>
      </c>
      <c r="R95" s="4"/>
    </row>
    <row r="96" spans="2:18" x14ac:dyDescent="0.3">
      <c r="B96">
        <f t="shared" si="31"/>
        <v>0.82000000000000051</v>
      </c>
      <c r="C96">
        <f t="shared" si="19"/>
        <v>2.7319607630109655E-3</v>
      </c>
      <c r="D96" s="6">
        <f t="shared" si="17"/>
        <v>0.66666666666666663</v>
      </c>
      <c r="E96" s="6">
        <f t="shared" si="25"/>
        <v>0.375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264.74000000000007</v>
      </c>
      <c r="L96">
        <f t="shared" si="26"/>
        <v>107.07564799999979</v>
      </c>
      <c r="M96">
        <f t="shared" si="24"/>
        <v>0.37580910163224607</v>
      </c>
      <c r="N96">
        <f t="shared" si="27"/>
        <v>166.32734648455011</v>
      </c>
      <c r="O96">
        <f t="shared" si="28"/>
        <v>99.491701566120852</v>
      </c>
      <c r="P96">
        <f t="shared" si="29"/>
        <v>66.835644918429267</v>
      </c>
      <c r="Q96">
        <f t="shared" si="30"/>
        <v>166.32734648455011</v>
      </c>
      <c r="R96" s="4"/>
    </row>
    <row r="97" spans="2:18" x14ac:dyDescent="0.3">
      <c r="B97">
        <f t="shared" si="31"/>
        <v>0.83000000000000052</v>
      </c>
      <c r="C97">
        <f t="shared" si="19"/>
        <v>2.2378485212761756E-3</v>
      </c>
      <c r="D97" s="6">
        <f t="shared" si="17"/>
        <v>0.66666666666666663</v>
      </c>
      <c r="E97" s="6">
        <f t="shared" si="25"/>
        <v>0.375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266.3900000000001</v>
      </c>
      <c r="L97">
        <f t="shared" si="26"/>
        <v>102.58335799999978</v>
      </c>
      <c r="M97">
        <f t="shared" si="24"/>
        <v>0.37566227246113582</v>
      </c>
      <c r="N97">
        <f t="shared" si="27"/>
        <v>164.11933337794761</v>
      </c>
      <c r="O97">
        <f t="shared" si="28"/>
        <v>100.072672760922</v>
      </c>
      <c r="P97">
        <f t="shared" si="29"/>
        <v>64.046660617025623</v>
      </c>
      <c r="Q97">
        <f t="shared" si="30"/>
        <v>164.11933337794761</v>
      </c>
      <c r="R97" s="4"/>
    </row>
    <row r="98" spans="2:18" x14ac:dyDescent="0.3">
      <c r="B98">
        <f t="shared" si="31"/>
        <v>0.84000000000000052</v>
      </c>
      <c r="C98">
        <f t="shared" si="19"/>
        <v>1.8329389424928122E-3</v>
      </c>
      <c r="D98" s="6">
        <f t="shared" si="17"/>
        <v>0.66666666666666663</v>
      </c>
      <c r="E98" s="6">
        <f t="shared" si="25"/>
        <v>0.375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268.06000000000006</v>
      </c>
      <c r="L98">
        <f t="shared" si="26"/>
        <v>97.925727999999751</v>
      </c>
      <c r="M98">
        <f t="shared" si="24"/>
        <v>0.37554205956083492</v>
      </c>
      <c r="N98">
        <f t="shared" si="27"/>
        <v>161.81830290876314</v>
      </c>
      <c r="O98">
        <f t="shared" si="28"/>
        <v>100.66780448587743</v>
      </c>
      <c r="P98">
        <f t="shared" si="29"/>
        <v>61.150498422885718</v>
      </c>
      <c r="Q98">
        <f t="shared" si="30"/>
        <v>161.81830290876314</v>
      </c>
      <c r="R98" s="4"/>
    </row>
    <row r="99" spans="2:18" x14ac:dyDescent="0.3">
      <c r="B99">
        <f t="shared" si="31"/>
        <v>0.85000000000000053</v>
      </c>
      <c r="C99">
        <f t="shared" si="19"/>
        <v>1.5011822567370103E-3</v>
      </c>
      <c r="D99" s="6">
        <f t="shared" si="17"/>
        <v>0.66666666666666663</v>
      </c>
      <c r="E99" s="6">
        <f t="shared" si="25"/>
        <v>0.375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269.75000000000011</v>
      </c>
      <c r="L99">
        <f t="shared" si="26"/>
        <v>93.09874999999974</v>
      </c>
      <c r="M99">
        <f t="shared" si="24"/>
        <v>0.37544364980332873</v>
      </c>
      <c r="N99">
        <f t="shared" si="27"/>
        <v>159.42134004232017</v>
      </c>
      <c r="O99">
        <f t="shared" si="28"/>
        <v>101.27592453444797</v>
      </c>
      <c r="P99">
        <f t="shared" si="29"/>
        <v>58.145415507872194</v>
      </c>
      <c r="Q99">
        <f t="shared" si="30"/>
        <v>159.42134004232017</v>
      </c>
      <c r="R99" s="4"/>
    </row>
    <row r="100" spans="2:18" x14ac:dyDescent="0.3">
      <c r="B100">
        <f t="shared" si="31"/>
        <v>0.86000000000000054</v>
      </c>
      <c r="C100">
        <f t="shared" si="19"/>
        <v>1.2293986212773556E-3</v>
      </c>
      <c r="D100" s="6">
        <f t="shared" si="17"/>
        <v>0.66666666666666663</v>
      </c>
      <c r="E100" s="6">
        <f t="shared" si="25"/>
        <v>0.375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271.46000000000009</v>
      </c>
      <c r="L100">
        <f t="shared" si="26"/>
        <v>88.098367999999724</v>
      </c>
      <c r="M100">
        <f t="shared" si="24"/>
        <v>0.37536309611185192</v>
      </c>
      <c r="N100">
        <f t="shared" si="27"/>
        <v>156.92555789564187</v>
      </c>
      <c r="O100">
        <f t="shared" si="28"/>
        <v>101.89606607052336</v>
      </c>
      <c r="P100">
        <f t="shared" si="29"/>
        <v>55.029491825118527</v>
      </c>
      <c r="Q100">
        <f t="shared" si="30"/>
        <v>156.92555789564187</v>
      </c>
      <c r="R100" s="4"/>
    </row>
    <row r="101" spans="2:18" x14ac:dyDescent="0.3">
      <c r="B101">
        <f t="shared" si="31"/>
        <v>0.87000000000000055</v>
      </c>
      <c r="C101">
        <f t="shared" si="19"/>
        <v>1.0067708200856007E-3</v>
      </c>
      <c r="D101" s="6">
        <f t="shared" si="17"/>
        <v>0.66666666666666663</v>
      </c>
      <c r="E101" s="6">
        <f t="shared" si="25"/>
        <v>0.375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273.19000000000011</v>
      </c>
      <c r="L101">
        <f t="shared" si="26"/>
        <v>82.920477999999719</v>
      </c>
      <c r="M101">
        <f t="shared" si="24"/>
        <v>0.37529716315982364</v>
      </c>
      <c r="N101">
        <f t="shared" si="27"/>
        <v>154.3280898423755</v>
      </c>
      <c r="O101">
        <f t="shared" si="28"/>
        <v>102.52743200363226</v>
      </c>
      <c r="P101">
        <f t="shared" si="29"/>
        <v>51.800657838743255</v>
      </c>
      <c r="Q101">
        <f t="shared" si="30"/>
        <v>154.3280898423755</v>
      </c>
      <c r="R101" s="4"/>
    </row>
    <row r="102" spans="2:18" x14ac:dyDescent="0.3">
      <c r="B102">
        <f t="shared" si="31"/>
        <v>0.88000000000000056</v>
      </c>
      <c r="C102">
        <f t="shared" si="19"/>
        <v>8.2442468639831734E-4</v>
      </c>
      <c r="D102" s="6">
        <f t="shared" si="17"/>
        <v>0.66666666666666663</v>
      </c>
      <c r="E102" s="6">
        <f t="shared" si="25"/>
        <v>0.375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274.94000000000011</v>
      </c>
      <c r="L102">
        <f t="shared" si="26"/>
        <v>77.560927999999691</v>
      </c>
      <c r="M102">
        <f t="shared" si="24"/>
        <v>0.37524320003032113</v>
      </c>
      <c r="N102">
        <f t="shared" si="27"/>
        <v>151.62608259629499</v>
      </c>
      <c r="O102">
        <f t="shared" si="28"/>
        <v>103.16936541633653</v>
      </c>
      <c r="P102">
        <f t="shared" si="29"/>
        <v>48.456717179958467</v>
      </c>
      <c r="Q102">
        <f t="shared" si="30"/>
        <v>151.62608259629499</v>
      </c>
      <c r="R102" s="4"/>
    </row>
    <row r="103" spans="2:18" x14ac:dyDescent="0.3">
      <c r="B103">
        <f t="shared" si="31"/>
        <v>0.89000000000000057</v>
      </c>
      <c r="C103">
        <f t="shared" si="19"/>
        <v>6.7508273063277002E-4</v>
      </c>
      <c r="D103" s="6">
        <f t="shared" si="17"/>
        <v>0.66666666666666663</v>
      </c>
      <c r="E103" s="6">
        <f t="shared" si="25"/>
        <v>0.375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276.71000000000009</v>
      </c>
      <c r="L103">
        <f t="shared" si="26"/>
        <v>72.015517999999673</v>
      </c>
      <c r="M103">
        <f t="shared" si="24"/>
        <v>0.37519903530775178</v>
      </c>
      <c r="N103">
        <f t="shared" si="27"/>
        <v>148.81669017921979</v>
      </c>
      <c r="O103">
        <f t="shared" si="28"/>
        <v>103.82132506000804</v>
      </c>
      <c r="P103">
        <f t="shared" si="29"/>
        <v>44.995365119211762</v>
      </c>
      <c r="Q103">
        <f t="shared" si="30"/>
        <v>148.81669017921979</v>
      </c>
      <c r="R103" s="4"/>
    </row>
    <row r="104" spans="2:18" x14ac:dyDescent="0.3">
      <c r="B104">
        <f t="shared" si="31"/>
        <v>0.90000000000000058</v>
      </c>
      <c r="C104">
        <f t="shared" si="19"/>
        <v>5.5277863692360096E-4</v>
      </c>
      <c r="D104" s="6">
        <f t="shared" si="17"/>
        <v>0.66666666666666663</v>
      </c>
      <c r="E104" s="6">
        <f t="shared" si="25"/>
        <v>0.375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278.50000000000011</v>
      </c>
      <c r="L104">
        <f t="shared" si="26"/>
        <v>66.27999999999966</v>
      </c>
      <c r="M104">
        <f t="shared" si="24"/>
        <v>0.37516289077086862</v>
      </c>
      <c r="N104">
        <f t="shared" si="27"/>
        <v>145.89706867939358</v>
      </c>
      <c r="O104">
        <f t="shared" si="28"/>
        <v>104.48286507968696</v>
      </c>
      <c r="P104">
        <f t="shared" si="29"/>
        <v>41.414203599706617</v>
      </c>
      <c r="Q104">
        <f t="shared" si="30"/>
        <v>145.89706867939358</v>
      </c>
      <c r="R104" s="4"/>
    </row>
    <row r="105" spans="2:18" x14ac:dyDescent="0.3">
      <c r="B105">
        <f t="shared" si="31"/>
        <v>0.91000000000000059</v>
      </c>
      <c r="C105">
        <f t="shared" si="19"/>
        <v>4.5262222324049528E-4</v>
      </c>
      <c r="D105" s="6">
        <f t="shared" si="17"/>
        <v>0.66666666666666663</v>
      </c>
      <c r="E105" s="6">
        <f t="shared" si="25"/>
        <v>0.375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280.31000000000012</v>
      </c>
      <c r="L105">
        <f t="shared" si="26"/>
        <v>60.350077999999655</v>
      </c>
      <c r="M105">
        <f t="shared" si="24"/>
        <v>0.37513331046880571</v>
      </c>
      <c r="N105">
        <f t="shared" si="27"/>
        <v>142.86437171032011</v>
      </c>
      <c r="O105">
        <f t="shared" si="28"/>
        <v>105.15361825751097</v>
      </c>
      <c r="P105">
        <f t="shared" si="29"/>
        <v>37.710753452809143</v>
      </c>
      <c r="Q105">
        <f t="shared" si="30"/>
        <v>142.86437171032011</v>
      </c>
      <c r="R105" s="4"/>
    </row>
    <row r="106" spans="2:18" x14ac:dyDescent="0.3">
      <c r="B106">
        <f t="shared" si="31"/>
        <v>0.9200000000000006</v>
      </c>
      <c r="C106">
        <f t="shared" si="19"/>
        <v>3.7060614062645048E-4</v>
      </c>
      <c r="D106" s="6">
        <f t="shared" si="17"/>
        <v>0.66666666666666663</v>
      </c>
      <c r="E106" s="6">
        <f t="shared" si="25"/>
        <v>0.375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282.1400000000001</v>
      </c>
      <c r="L106">
        <f t="shared" si="26"/>
        <v>54.221407999999656</v>
      </c>
      <c r="M106">
        <f t="shared" si="24"/>
        <v>0.37510910249108559</v>
      </c>
      <c r="N106">
        <f t="shared" si="27"/>
        <v>139.71574648615174</v>
      </c>
      <c r="O106">
        <f t="shared" si="28"/>
        <v>105.83328217683493</v>
      </c>
      <c r="P106">
        <f t="shared" si="29"/>
        <v>33.882464309316816</v>
      </c>
      <c r="Q106">
        <f t="shared" si="30"/>
        <v>139.71574648615174</v>
      </c>
      <c r="R106" s="4"/>
    </row>
    <row r="107" spans="2:18" x14ac:dyDescent="0.3">
      <c r="B107">
        <f t="shared" si="31"/>
        <v>0.9300000000000006</v>
      </c>
      <c r="C107">
        <f t="shared" si="19"/>
        <v>3.03447030028825E-4</v>
      </c>
      <c r="D107" s="6">
        <f t="shared" si="17"/>
        <v>0.66666666666666663</v>
      </c>
      <c r="E107" s="6">
        <f t="shared" si="25"/>
        <v>0.375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283.99000000000012</v>
      </c>
      <c r="L107">
        <f t="shared" si="26"/>
        <v>47.889597999999637</v>
      </c>
      <c r="M107">
        <f t="shared" si="24"/>
        <v>0.37508929119440382</v>
      </c>
      <c r="N107">
        <f t="shared" si="27"/>
        <v>136.44833043689363</v>
      </c>
      <c r="O107">
        <f t="shared" si="28"/>
        <v>106.52160780629879</v>
      </c>
      <c r="P107">
        <f t="shared" si="29"/>
        <v>29.926722630594835</v>
      </c>
      <c r="Q107">
        <f t="shared" si="30"/>
        <v>136.44833043689363</v>
      </c>
      <c r="R107" s="4"/>
    </row>
    <row r="108" spans="2:18" x14ac:dyDescent="0.3">
      <c r="B108">
        <f t="shared" si="31"/>
        <v>0.94000000000000061</v>
      </c>
      <c r="C108">
        <f t="shared" si="19"/>
        <v>2.4845508183946041E-4</v>
      </c>
      <c r="D108" s="6">
        <f t="shared" si="17"/>
        <v>0.66666666666666663</v>
      </c>
      <c r="E108" s="6">
        <f t="shared" si="25"/>
        <v>0.375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285.86000000000013</v>
      </c>
      <c r="L108">
        <f t="shared" si="26"/>
        <v>41.350207999999583</v>
      </c>
      <c r="M108">
        <f t="shared" si="24"/>
        <v>0.37507307803125328</v>
      </c>
      <c r="N108">
        <f t="shared" si="27"/>
        <v>133.05924829422131</v>
      </c>
      <c r="O108">
        <f t="shared" si="28"/>
        <v>107.21839008601411</v>
      </c>
      <c r="P108">
        <f t="shared" si="29"/>
        <v>25.840858208207187</v>
      </c>
      <c r="Q108">
        <f t="shared" si="30"/>
        <v>133.05924829422131</v>
      </c>
      <c r="R108" s="4"/>
    </row>
    <row r="109" spans="2:18" x14ac:dyDescent="0.3">
      <c r="B109">
        <f t="shared" si="31"/>
        <v>0.95000000000000062</v>
      </c>
      <c r="C109">
        <f t="shared" si="19"/>
        <v>2.0342697805519894E-4</v>
      </c>
      <c r="D109" s="6">
        <f t="shared" si="17"/>
        <v>0.66666666666666663</v>
      </c>
      <c r="E109" s="6">
        <f t="shared" si="25"/>
        <v>0.375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287.75000000000011</v>
      </c>
      <c r="L109">
        <f t="shared" si="26"/>
        <v>34.598749999999569</v>
      </c>
      <c r="M109">
        <f t="shared" si="24"/>
        <v>0.37505980944655898</v>
      </c>
      <c r="N109">
        <f t="shared" si="27"/>
        <v>129.54560958615798</v>
      </c>
      <c r="O109">
        <f t="shared" si="28"/>
        <v>107.92346016824739</v>
      </c>
      <c r="P109">
        <f t="shared" si="29"/>
        <v>21.622149417910599</v>
      </c>
      <c r="Q109">
        <f t="shared" si="30"/>
        <v>129.54560958615798</v>
      </c>
      <c r="R109" s="4"/>
    </row>
    <row r="110" spans="2:18" x14ac:dyDescent="0.3">
      <c r="B110">
        <f t="shared" si="31"/>
        <v>0.96000000000000063</v>
      </c>
      <c r="C110">
        <f t="shared" si="19"/>
        <v>1.6655806477727797E-4</v>
      </c>
      <c r="D110" s="6">
        <f t="shared" si="17"/>
        <v>0.66666666666666663</v>
      </c>
      <c r="E110" s="6">
        <f t="shared" si="25"/>
        <v>0.375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289.66000000000014</v>
      </c>
      <c r="L110">
        <f t="shared" si="26"/>
        <v>27.630687999999566</v>
      </c>
      <c r="M110">
        <f t="shared" si="24"/>
        <v>0.37504895057676729</v>
      </c>
      <c r="N110">
        <f t="shared" si="27"/>
        <v>125.90450648595211</v>
      </c>
      <c r="O110">
        <f t="shared" si="28"/>
        <v>108.63667902406647</v>
      </c>
      <c r="P110">
        <f t="shared" si="29"/>
        <v>17.267827461885648</v>
      </c>
      <c r="Q110">
        <f t="shared" si="30"/>
        <v>125.90450648595211</v>
      </c>
      <c r="R110" s="4"/>
    </row>
    <row r="111" spans="2:18" x14ac:dyDescent="0.3">
      <c r="B111">
        <f t="shared" si="31"/>
        <v>0.97000000000000064</v>
      </c>
      <c r="C111">
        <f t="shared" si="19"/>
        <v>1.3637032707958241E-4</v>
      </c>
      <c r="D111" s="6">
        <f t="shared" si="17"/>
        <v>0.66666666666666663</v>
      </c>
      <c r="E111" s="6">
        <f t="shared" si="25"/>
        <v>0.375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291.59000000000015</v>
      </c>
      <c r="L111">
        <f t="shared" si="26"/>
        <v>20.441437999999494</v>
      </c>
      <c r="M111">
        <f t="shared" si="24"/>
        <v>0.37504006370898918</v>
      </c>
      <c r="N111">
        <f t="shared" si="27"/>
        <v>122.13301196708055</v>
      </c>
      <c r="O111">
        <f t="shared" si="28"/>
        <v>109.35793217690421</v>
      </c>
      <c r="P111">
        <f t="shared" si="29"/>
        <v>12.77507979017633</v>
      </c>
      <c r="Q111">
        <f t="shared" si="30"/>
        <v>122.13301196708055</v>
      </c>
      <c r="R111" s="4"/>
    </row>
    <row r="112" spans="2:18" x14ac:dyDescent="0.3">
      <c r="B112">
        <f t="shared" si="31"/>
        <v>0.98000000000000065</v>
      </c>
      <c r="C112">
        <f t="shared" si="19"/>
        <v>1.1165334062956944E-4</v>
      </c>
      <c r="D112" s="6">
        <f t="shared" si="17"/>
        <v>0.66666666666666663</v>
      </c>
      <c r="E112" s="6">
        <f t="shared" si="25"/>
        <v>0.375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293.54000000000013</v>
      </c>
      <c r="L112">
        <f t="shared" si="26"/>
        <v>13.026367999999508</v>
      </c>
      <c r="M112">
        <f t="shared" si="24"/>
        <v>0.37503279064280731</v>
      </c>
      <c r="N112">
        <f t="shared" si="27"/>
        <v>118.22817822230924</v>
      </c>
      <c r="O112">
        <f t="shared" si="28"/>
        <v>110.08712536528971</v>
      </c>
      <c r="P112">
        <f t="shared" si="29"/>
        <v>8.1410528570195293</v>
      </c>
      <c r="Q112">
        <f t="shared" si="30"/>
        <v>118.22817822230924</v>
      </c>
      <c r="R112" s="4"/>
    </row>
    <row r="113" spans="2:18" x14ac:dyDescent="0.3">
      <c r="B113">
        <f t="shared" si="31"/>
        <v>0.99000000000000066</v>
      </c>
      <c r="C113">
        <f t="shared" si="19"/>
        <v>9.1415873852196405E-5</v>
      </c>
      <c r="D113" s="6">
        <f t="shared" si="17"/>
        <v>0.66666666666666663</v>
      </c>
      <c r="E113" s="6">
        <f t="shared" si="25"/>
        <v>0.375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295.5100000000001</v>
      </c>
      <c r="L113">
        <f t="shared" si="26"/>
        <v>5.380797999999487</v>
      </c>
      <c r="M113">
        <f t="shared" si="24"/>
        <v>0.37502683825031269</v>
      </c>
      <c r="N113">
        <f t="shared" si="27"/>
        <v>114.18703531014602</v>
      </c>
      <c r="O113">
        <f t="shared" si="28"/>
        <v>110.82418097134995</v>
      </c>
      <c r="P113">
        <f t="shared" si="29"/>
        <v>3.3628543387960734</v>
      </c>
      <c r="Q113">
        <f t="shared" si="30"/>
        <v>114.18703531014602</v>
      </c>
      <c r="R113" s="4"/>
    </row>
    <row r="114" spans="2:18" x14ac:dyDescent="0.3">
      <c r="B114">
        <f t="shared" si="31"/>
        <v>1.0000000000000007</v>
      </c>
      <c r="C114">
        <f t="shared" si="19"/>
        <v>7.4846227510527719E-5</v>
      </c>
      <c r="D114" s="6">
        <f t="shared" si="17"/>
        <v>0.66666666666666663</v>
      </c>
      <c r="E114" s="6">
        <f t="shared" si="25"/>
        <v>0.375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297.50000000000011</v>
      </c>
      <c r="L114">
        <f t="shared" si="26"/>
        <v>-2.50000000000054</v>
      </c>
      <c r="M114">
        <f t="shared" si="24"/>
        <v>0.37502196665612281</v>
      </c>
      <c r="N114">
        <f t="shared" si="27"/>
        <v>110.00658999683654</v>
      </c>
      <c r="O114">
        <f t="shared" si="28"/>
        <v>111.56903508019657</v>
      </c>
      <c r="P114">
        <f t="shared" si="29"/>
        <v>-1.5624450833600305</v>
      </c>
      <c r="Q114">
        <f t="shared" si="30"/>
        <v>110.00658999683654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2085-227D-45CA-89E6-B8CC1A0DE951}">
  <dimension ref="B1:R117"/>
  <sheetViews>
    <sheetView zoomScaleNormal="100" workbookViewId="0">
      <pane ySplit="1" topLeftCell="A2" activePane="bottomLeft" state="frozen"/>
      <selection pane="bottomLeft" activeCell="S1" sqref="S1:T1048576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5</v>
      </c>
      <c r="C4" s="12">
        <v>50</v>
      </c>
      <c r="D4" s="12">
        <v>5</v>
      </c>
      <c r="E4" s="12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7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5</v>
      </c>
      <c r="C10" s="5">
        <f t="shared" ref="C10:E10" si="0">C4+C7</f>
        <v>50</v>
      </c>
      <c r="D10" s="5">
        <f t="shared" si="0"/>
        <v>12</v>
      </c>
      <c r="E10" s="5">
        <f t="shared" si="0"/>
        <v>30</v>
      </c>
      <c r="G10" s="10">
        <f>F7-0.5*D7-E7</f>
        <v>196.5</v>
      </c>
      <c r="K10" s="1">
        <v>1</v>
      </c>
      <c r="M10" s="1">
        <v>0.5</v>
      </c>
      <c r="N10" s="1">
        <v>0.65</v>
      </c>
      <c r="Q10" s="2" t="s">
        <v>22</v>
      </c>
      <c r="R10" s="9">
        <f>MAX(Q14:Q114)</f>
        <v>208.88798449550305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0.99998987000901918</v>
      </c>
      <c r="D14" s="6">
        <f t="shared" ref="D14:D77" si="1">$D$10/($D$10+$B$10)</f>
        <v>0.70588235294117652</v>
      </c>
      <c r="E14" s="6">
        <f>$E$10/($E$10+$C$10)</f>
        <v>0.375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196.5</v>
      </c>
      <c r="L14">
        <f>$G$10+I14</f>
        <v>196.5</v>
      </c>
      <c r="M14">
        <f>C14*D14^(1-EXP(-5*B14))+(1-C14)*E14</f>
        <v>0.999993668755637</v>
      </c>
      <c r="N14" s="3">
        <f>M14*K14+(1-M14)*L14</f>
        <v>196.5</v>
      </c>
      <c r="O14">
        <f>K14*M14</f>
        <v>196.49875591048266</v>
      </c>
      <c r="P14">
        <f>(1-M14)*L14</f>
        <v>1.2440895173295718E-3</v>
      </c>
      <c r="Q14">
        <f>P14+O14</f>
        <v>196.5</v>
      </c>
    </row>
    <row r="15" spans="2:18" x14ac:dyDescent="0.3">
      <c r="B15">
        <v>0.01</v>
      </c>
      <c r="C15">
        <f t="shared" ref="C15:C78" si="3">1-1/(1+EXP(-20*(B15-(($N$10+$M$10)/2))))</f>
        <v>0.99998762722882562</v>
      </c>
      <c r="D15" s="6">
        <f>$D$10/($D$10+$B$10)</f>
        <v>0.70588235294117652</v>
      </c>
      <c r="E15" s="6">
        <f>$E$10/($E$10+$C$10)</f>
        <v>0.375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196.51</v>
      </c>
      <c r="L15">
        <f>$G$10+I15</f>
        <v>196.49999800000001</v>
      </c>
      <c r="M15">
        <f t="shared" ref="M15:M78" si="8">C15*D15^(1-EXP(-5*B15))+(1-C15)*E15</f>
        <v>0.9831488250631788</v>
      </c>
      <c r="N15">
        <f>M15*K15+(1-M15)*L15</f>
        <v>196.50983145454828</v>
      </c>
      <c r="O15">
        <f>K15*M15</f>
        <v>193.19857561316525</v>
      </c>
      <c r="P15">
        <f>(1-M15)*L15</f>
        <v>3.3112558413830162</v>
      </c>
      <c r="Q15">
        <f>P15+O15</f>
        <v>196.50983145454828</v>
      </c>
      <c r="R15" s="4"/>
    </row>
    <row r="16" spans="2:18" x14ac:dyDescent="0.3">
      <c r="B16">
        <f>B15+0.01</f>
        <v>0.02</v>
      </c>
      <c r="C16">
        <f t="shared" si="3"/>
        <v>0.99998488790455897</v>
      </c>
      <c r="D16" s="6">
        <f t="shared" si="1"/>
        <v>0.70588235294117652</v>
      </c>
      <c r="E16" s="6">
        <f t="shared" ref="E16:E79" si="9">$E$10/($E$10+$C$10)</f>
        <v>0.375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196.54</v>
      </c>
      <c r="L16">
        <f t="shared" ref="L16:L78" si="10">$G$10+I16</f>
        <v>196.499968</v>
      </c>
      <c r="M16">
        <f t="shared" si="8"/>
        <v>0.9673885848777507</v>
      </c>
      <c r="N16">
        <f t="shared" ref="N16:N79" si="11">M16*K16+(1-M16)*L16</f>
        <v>196.5386944998298</v>
      </c>
      <c r="O16">
        <f t="shared" ref="O16:O79" si="12">K16*M16</f>
        <v>190.1305524718731</v>
      </c>
      <c r="P16">
        <f t="shared" ref="P16:P79" si="13">(1-M16)*L16</f>
        <v>6.4081420279567034</v>
      </c>
      <c r="Q16">
        <f t="shared" ref="Q16:Q79" si="14">P16+O16</f>
        <v>196.5386944998298</v>
      </c>
      <c r="R16" s="4"/>
    </row>
    <row r="17" spans="2:18" x14ac:dyDescent="0.3">
      <c r="B17">
        <f t="shared" ref="B17:B80" si="15">B16+0.01</f>
        <v>0.03</v>
      </c>
      <c r="C17">
        <f t="shared" si="3"/>
        <v>0.99998154210670431</v>
      </c>
      <c r="D17" s="6">
        <f t="shared" si="1"/>
        <v>0.70588235294117652</v>
      </c>
      <c r="E17" s="6">
        <f t="shared" si="9"/>
        <v>0.375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196.59</v>
      </c>
      <c r="L17">
        <f t="shared" si="10"/>
        <v>196.49983800000001</v>
      </c>
      <c r="M17">
        <f t="shared" si="8"/>
        <v>0.95263110689482211</v>
      </c>
      <c r="N17">
        <f t="shared" si="11"/>
        <v>196.58572912585987</v>
      </c>
      <c r="O17">
        <f t="shared" si="12"/>
        <v>187.2777493044531</v>
      </c>
      <c r="P17">
        <f t="shared" si="13"/>
        <v>9.3079798214067733</v>
      </c>
      <c r="Q17">
        <f t="shared" si="14"/>
        <v>196.58572912585987</v>
      </c>
      <c r="R17" s="4"/>
    </row>
    <row r="18" spans="2:18" x14ac:dyDescent="0.3">
      <c r="B18">
        <f t="shared" si="15"/>
        <v>0.04</v>
      </c>
      <c r="C18">
        <f t="shared" si="3"/>
        <v>0.99997745557034956</v>
      </c>
      <c r="D18" s="6">
        <f t="shared" si="1"/>
        <v>0.70588235294117652</v>
      </c>
      <c r="E18" s="6">
        <f t="shared" si="9"/>
        <v>0.375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196.66</v>
      </c>
      <c r="L18">
        <f t="shared" si="10"/>
        <v>196.49948800000001</v>
      </c>
      <c r="M18">
        <f t="shared" si="8"/>
        <v>0.93880186207485505</v>
      </c>
      <c r="N18">
        <f t="shared" si="11"/>
        <v>196.65017696448535</v>
      </c>
      <c r="O18">
        <f t="shared" si="12"/>
        <v>184.62477419564098</v>
      </c>
      <c r="P18">
        <f t="shared" si="13"/>
        <v>12.025402768844366</v>
      </c>
      <c r="Q18">
        <f t="shared" si="14"/>
        <v>196.65017696448535</v>
      </c>
      <c r="R18" s="4"/>
    </row>
    <row r="19" spans="2:18" x14ac:dyDescent="0.3">
      <c r="B19">
        <f t="shared" si="15"/>
        <v>0.05</v>
      </c>
      <c r="C19">
        <f t="shared" si="3"/>
        <v>0.99997246430888542</v>
      </c>
      <c r="D19" s="6">
        <f t="shared" si="1"/>
        <v>0.70588235294117652</v>
      </c>
      <c r="E19" s="6">
        <f t="shared" si="9"/>
        <v>0.375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196.75</v>
      </c>
      <c r="L19">
        <f t="shared" si="10"/>
        <v>196.49875</v>
      </c>
      <c r="M19">
        <f t="shared" si="8"/>
        <v>0.92583286595533332</v>
      </c>
      <c r="N19">
        <f t="shared" si="11"/>
        <v>196.7313655075713</v>
      </c>
      <c r="O19">
        <f t="shared" si="12"/>
        <v>182.15761637671184</v>
      </c>
      <c r="P19">
        <f t="shared" si="13"/>
        <v>14.573749130859447</v>
      </c>
      <c r="Q19">
        <f t="shared" si="14"/>
        <v>196.7313655075713</v>
      </c>
      <c r="R19" s="4"/>
    </row>
    <row r="20" spans="2:18" x14ac:dyDescent="0.3">
      <c r="B20">
        <f t="shared" si="15"/>
        <v>6.0000000000000005E-2</v>
      </c>
      <c r="C20">
        <f t="shared" si="3"/>
        <v>0.99996636803596128</v>
      </c>
      <c r="D20" s="6">
        <f t="shared" si="1"/>
        <v>0.70588235294117652</v>
      </c>
      <c r="E20" s="6">
        <f t="shared" si="9"/>
        <v>0.375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196.86</v>
      </c>
      <c r="L20">
        <f t="shared" si="10"/>
        <v>196.49740800000001</v>
      </c>
      <c r="M20">
        <f t="shared" si="8"/>
        <v>0.91366200142459475</v>
      </c>
      <c r="N20">
        <f t="shared" si="11"/>
        <v>196.82869453242057</v>
      </c>
      <c r="O20">
        <f t="shared" si="12"/>
        <v>179.86350160044574</v>
      </c>
      <c r="P20">
        <f t="shared" si="13"/>
        <v>16.965192931974826</v>
      </c>
      <c r="Q20">
        <f t="shared" si="14"/>
        <v>196.82869453242057</v>
      </c>
      <c r="R20" s="4"/>
    </row>
    <row r="21" spans="2:18" x14ac:dyDescent="0.3">
      <c r="B21">
        <f t="shared" si="15"/>
        <v>7.0000000000000007E-2</v>
      </c>
      <c r="C21">
        <f t="shared" si="3"/>
        <v>0.99995892213223525</v>
      </c>
      <c r="D21" s="6">
        <f t="shared" si="1"/>
        <v>0.70588235294117652</v>
      </c>
      <c r="E21" s="6">
        <f t="shared" si="9"/>
        <v>0.375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196.99</v>
      </c>
      <c r="L21">
        <f t="shared" si="10"/>
        <v>196.49519799999999</v>
      </c>
      <c r="M21">
        <f t="shared" si="8"/>
        <v>0.9022324198964019</v>
      </c>
      <c r="N21">
        <f t="shared" si="11"/>
        <v>196.94162440582957</v>
      </c>
      <c r="O21">
        <f t="shared" si="12"/>
        <v>177.73076439539221</v>
      </c>
      <c r="P21">
        <f t="shared" si="13"/>
        <v>19.210860010437369</v>
      </c>
      <c r="Q21">
        <f t="shared" si="14"/>
        <v>196.94162440582957</v>
      </c>
      <c r="R21" s="4"/>
    </row>
    <row r="22" spans="2:18" x14ac:dyDescent="0.3">
      <c r="B22">
        <f t="shared" si="15"/>
        <v>0.08</v>
      </c>
      <c r="C22">
        <f t="shared" si="3"/>
        <v>0.99994982783531627</v>
      </c>
      <c r="D22" s="6">
        <f t="shared" si="1"/>
        <v>0.70588235294117652</v>
      </c>
      <c r="E22" s="6">
        <f t="shared" si="9"/>
        <v>0.375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197.14</v>
      </c>
      <c r="L22">
        <f t="shared" si="10"/>
        <v>196.49180799999999</v>
      </c>
      <c r="M22">
        <f t="shared" si="8"/>
        <v>0.89149201052285276</v>
      </c>
      <c r="N22">
        <f t="shared" si="11"/>
        <v>197.0696659892848</v>
      </c>
      <c r="O22">
        <f t="shared" si="12"/>
        <v>175.74873495447517</v>
      </c>
      <c r="P22">
        <f t="shared" si="13"/>
        <v>21.320931034809636</v>
      </c>
      <c r="Q22">
        <f t="shared" si="14"/>
        <v>197.0696659892848</v>
      </c>
      <c r="R22" s="4"/>
    </row>
    <row r="23" spans="2:18" x14ac:dyDescent="0.3">
      <c r="B23">
        <f t="shared" si="15"/>
        <v>0.09</v>
      </c>
      <c r="C23">
        <f t="shared" si="3"/>
        <v>0.99993872026038344</v>
      </c>
      <c r="D23" s="6">
        <f t="shared" si="1"/>
        <v>0.70588235294117652</v>
      </c>
      <c r="E23" s="6">
        <f t="shared" si="9"/>
        <v>0.375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197.31</v>
      </c>
      <c r="L23">
        <f t="shared" si="10"/>
        <v>196.48687799999999</v>
      </c>
      <c r="M23">
        <f t="shared" si="8"/>
        <v>0.88139292851093765</v>
      </c>
      <c r="N23">
        <f t="shared" si="11"/>
        <v>197.21237191010178</v>
      </c>
      <c r="O23">
        <f t="shared" si="12"/>
        <v>173.9076387244931</v>
      </c>
      <c r="P23">
        <f t="shared" si="13"/>
        <v>23.304733185608672</v>
      </c>
      <c r="Q23">
        <f t="shared" si="14"/>
        <v>197.21237191010178</v>
      </c>
      <c r="R23" s="4"/>
    </row>
    <row r="24" spans="2:18" x14ac:dyDescent="0.3">
      <c r="B24">
        <f t="shared" si="15"/>
        <v>9.9999999999999992E-2</v>
      </c>
      <c r="C24">
        <f t="shared" si="3"/>
        <v>0.99992515377248936</v>
      </c>
      <c r="D24" s="6">
        <f t="shared" si="1"/>
        <v>0.70588235294117652</v>
      </c>
      <c r="E24" s="6">
        <f t="shared" si="9"/>
        <v>0.375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197.5</v>
      </c>
      <c r="L24">
        <f t="shared" si="10"/>
        <v>196.48</v>
      </c>
      <c r="M24">
        <f t="shared" si="8"/>
        <v>0.87189117480810197</v>
      </c>
      <c r="N24">
        <f t="shared" si="11"/>
        <v>197.36932899830427</v>
      </c>
      <c r="O24">
        <f t="shared" si="12"/>
        <v>172.19850702460013</v>
      </c>
      <c r="P24">
        <f t="shared" si="13"/>
        <v>25.170821973704125</v>
      </c>
      <c r="Q24">
        <f t="shared" si="14"/>
        <v>197.36932899830427</v>
      </c>
      <c r="R24" s="4"/>
    </row>
    <row r="25" spans="2:18" x14ac:dyDescent="0.3">
      <c r="B25">
        <f t="shared" si="15"/>
        <v>0.10999999999999999</v>
      </c>
      <c r="C25">
        <f t="shared" si="3"/>
        <v>0.9999085841261478</v>
      </c>
      <c r="D25" s="6">
        <f t="shared" si="1"/>
        <v>0.70588235294117652</v>
      </c>
      <c r="E25" s="6">
        <f t="shared" si="9"/>
        <v>0.375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197.71</v>
      </c>
      <c r="L25">
        <f t="shared" si="10"/>
        <v>196.47071800000001</v>
      </c>
      <c r="M25">
        <f t="shared" si="8"/>
        <v>0.86294622042983982</v>
      </c>
      <c r="N25">
        <f t="shared" si="11"/>
        <v>197.54015171794674</v>
      </c>
      <c r="O25">
        <f t="shared" si="12"/>
        <v>170.61309724118362</v>
      </c>
      <c r="P25">
        <f t="shared" si="13"/>
        <v>26.927054476763104</v>
      </c>
      <c r="Q25">
        <f t="shared" si="14"/>
        <v>197.54015171794674</v>
      </c>
      <c r="R25" s="4"/>
    </row>
    <row r="26" spans="2:18" x14ac:dyDescent="0.3">
      <c r="B26">
        <f t="shared" si="15"/>
        <v>0.11999999999999998</v>
      </c>
      <c r="C26">
        <f t="shared" si="3"/>
        <v>0.99988834665937043</v>
      </c>
      <c r="D26" s="6">
        <f t="shared" si="1"/>
        <v>0.70588235294117652</v>
      </c>
      <c r="E26" s="6">
        <f t="shared" si="9"/>
        <v>0.375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197.94</v>
      </c>
      <c r="L26">
        <f t="shared" si="10"/>
        <v>196.458528</v>
      </c>
      <c r="M26">
        <f t="shared" si="8"/>
        <v>0.85452066954633188</v>
      </c>
      <c r="N26">
        <f t="shared" si="11"/>
        <v>197.72447644535413</v>
      </c>
      <c r="O26">
        <f t="shared" si="12"/>
        <v>169.14382133000092</v>
      </c>
      <c r="P26">
        <f t="shared" si="13"/>
        <v>28.58065511535321</v>
      </c>
      <c r="Q26">
        <f t="shared" si="14"/>
        <v>197.72447644535413</v>
      </c>
      <c r="R26" s="4"/>
    </row>
    <row r="27" spans="2:18" x14ac:dyDescent="0.3">
      <c r="B27">
        <f t="shared" si="15"/>
        <v>0.12999999999999998</v>
      </c>
      <c r="C27">
        <f t="shared" si="3"/>
        <v>0.99986362967292053</v>
      </c>
      <c r="D27" s="6">
        <f t="shared" si="1"/>
        <v>0.70588235294117652</v>
      </c>
      <c r="E27" s="6">
        <f t="shared" si="9"/>
        <v>0.375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198.19</v>
      </c>
      <c r="L27">
        <f t="shared" si="10"/>
        <v>196.44287800000001</v>
      </c>
      <c r="M27">
        <f t="shared" si="8"/>
        <v>0.84657995614867643</v>
      </c>
      <c r="N27">
        <f t="shared" si="11"/>
        <v>197.92195646614638</v>
      </c>
      <c r="O27">
        <f t="shared" si="12"/>
        <v>167.78368150910617</v>
      </c>
      <c r="P27">
        <f t="shared" si="13"/>
        <v>30.138274957040206</v>
      </c>
      <c r="Q27">
        <f t="shared" si="14"/>
        <v>197.92195646614638</v>
      </c>
      <c r="R27" s="4"/>
    </row>
    <row r="28" spans="2:18" x14ac:dyDescent="0.3">
      <c r="B28">
        <f t="shared" si="15"/>
        <v>0.13999999999999999</v>
      </c>
      <c r="C28">
        <f t="shared" si="3"/>
        <v>0.99983344193522261</v>
      </c>
      <c r="D28" s="6">
        <f t="shared" si="1"/>
        <v>0.70588235294117652</v>
      </c>
      <c r="E28" s="6">
        <f t="shared" si="9"/>
        <v>0.375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198.46</v>
      </c>
      <c r="L28">
        <f t="shared" si="10"/>
        <v>196.423168</v>
      </c>
      <c r="M28">
        <f t="shared" si="8"/>
        <v>0.83909206969700478</v>
      </c>
      <c r="N28">
        <f t="shared" si="11"/>
        <v>198.13225757850512</v>
      </c>
      <c r="O28">
        <f t="shared" si="12"/>
        <v>166.52621215206759</v>
      </c>
      <c r="P28">
        <f t="shared" si="13"/>
        <v>31.606045426437522</v>
      </c>
      <c r="Q28">
        <f t="shared" si="14"/>
        <v>198.13225757850512</v>
      </c>
      <c r="R28" s="4"/>
    </row>
    <row r="29" spans="2:18" x14ac:dyDescent="0.3">
      <c r="B29">
        <f t="shared" si="15"/>
        <v>0.15</v>
      </c>
      <c r="C29">
        <f t="shared" si="3"/>
        <v>0.9997965730219448</v>
      </c>
      <c r="D29" s="6">
        <f t="shared" si="1"/>
        <v>0.70588235294117652</v>
      </c>
      <c r="E29" s="6">
        <f t="shared" si="9"/>
        <v>0.375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198.75</v>
      </c>
      <c r="L29">
        <f t="shared" si="10"/>
        <v>196.39875000000001</v>
      </c>
      <c r="M29">
        <f t="shared" si="8"/>
        <v>0.83202730562750915</v>
      </c>
      <c r="N29">
        <f t="shared" si="11"/>
        <v>198.35505420235668</v>
      </c>
      <c r="O29">
        <f t="shared" si="12"/>
        <v>165.36542699346745</v>
      </c>
      <c r="P29">
        <f t="shared" si="13"/>
        <v>32.989627208889239</v>
      </c>
      <c r="Q29">
        <f t="shared" si="14"/>
        <v>198.35505420235668</v>
      </c>
      <c r="R29" s="4"/>
    </row>
    <row r="30" spans="2:18" x14ac:dyDescent="0.3">
      <c r="B30">
        <f t="shared" si="15"/>
        <v>0.16</v>
      </c>
      <c r="C30">
        <f t="shared" si="3"/>
        <v>0.99975154491816065</v>
      </c>
      <c r="D30" s="6">
        <f t="shared" si="1"/>
        <v>0.70588235294117652</v>
      </c>
      <c r="E30" s="6">
        <f t="shared" si="9"/>
        <v>0.375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199.06</v>
      </c>
      <c r="L30">
        <f t="shared" si="10"/>
        <v>196.36892800000001</v>
      </c>
      <c r="M30">
        <f t="shared" si="8"/>
        <v>0.82535803697458165</v>
      </c>
      <c r="N30">
        <f t="shared" si="11"/>
        <v>198.59002590327728</v>
      </c>
      <c r="O30">
        <f t="shared" si="12"/>
        <v>164.29577084016023</v>
      </c>
      <c r="P30">
        <f t="shared" si="13"/>
        <v>34.294255063117042</v>
      </c>
      <c r="Q30">
        <f t="shared" si="14"/>
        <v>198.59002590327728</v>
      </c>
      <c r="R30" s="4"/>
    </row>
    <row r="31" spans="2:18" x14ac:dyDescent="0.3">
      <c r="B31">
        <f t="shared" si="15"/>
        <v>0.17</v>
      </c>
      <c r="C31">
        <f t="shared" si="3"/>
        <v>0.99969655296997106</v>
      </c>
      <c r="D31" s="6">
        <f t="shared" si="1"/>
        <v>0.70588235294117652</v>
      </c>
      <c r="E31" s="6">
        <f t="shared" si="9"/>
        <v>0.375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199.39</v>
      </c>
      <c r="L31">
        <f t="shared" si="10"/>
        <v>196.33295799999999</v>
      </c>
      <c r="M31">
        <f t="shared" si="8"/>
        <v>0.81905850365645894</v>
      </c>
      <c r="N31">
        <f t="shared" si="11"/>
        <v>198.83685424613495</v>
      </c>
      <c r="O31">
        <f t="shared" si="12"/>
        <v>163.31207504406134</v>
      </c>
      <c r="P31">
        <f t="shared" si="13"/>
        <v>35.524779202073603</v>
      </c>
      <c r="Q31">
        <f t="shared" si="14"/>
        <v>198.83685424613495</v>
      </c>
      <c r="R31" s="4"/>
    </row>
    <row r="32" spans="2:18" x14ac:dyDescent="0.3">
      <c r="B32">
        <f t="shared" si="15"/>
        <v>0.18000000000000002</v>
      </c>
      <c r="C32">
        <f t="shared" si="3"/>
        <v>0.99962939385937355</v>
      </c>
      <c r="D32" s="6">
        <f t="shared" si="1"/>
        <v>0.70588235294117652</v>
      </c>
      <c r="E32" s="6">
        <f t="shared" si="9"/>
        <v>0.375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199.74</v>
      </c>
      <c r="L32">
        <f t="shared" si="10"/>
        <v>196.29004800000001</v>
      </c>
      <c r="M32">
        <f t="shared" si="8"/>
        <v>0.81310461618393581</v>
      </c>
      <c r="N32">
        <f t="shared" si="11"/>
        <v>199.09521989681301</v>
      </c>
      <c r="O32">
        <f t="shared" si="12"/>
        <v>162.40951603657933</v>
      </c>
      <c r="P32">
        <f t="shared" si="13"/>
        <v>36.685703860233666</v>
      </c>
      <c r="Q32">
        <f t="shared" si="14"/>
        <v>199.09521989681301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0.9995473777767595</v>
      </c>
      <c r="D33" s="6">
        <f t="shared" si="1"/>
        <v>0.70588235294117652</v>
      </c>
      <c r="E33" s="6">
        <f t="shared" si="9"/>
        <v>0.375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200.11</v>
      </c>
      <c r="L33">
        <f t="shared" si="10"/>
        <v>196.23935800000001</v>
      </c>
      <c r="M33">
        <f t="shared" si="8"/>
        <v>0.80747377068557968</v>
      </c>
      <c r="N33">
        <f t="shared" si="11"/>
        <v>199.36479989071398</v>
      </c>
      <c r="O33">
        <f t="shared" si="12"/>
        <v>161.58357625189137</v>
      </c>
      <c r="P33">
        <f t="shared" si="13"/>
        <v>37.781223638822624</v>
      </c>
      <c r="Q33">
        <f t="shared" si="14"/>
        <v>199.36479989071398</v>
      </c>
      <c r="R33" s="4"/>
    </row>
    <row r="34" spans="2:18" x14ac:dyDescent="0.3">
      <c r="B34">
        <f t="shared" si="15"/>
        <v>0.20000000000000004</v>
      </c>
      <c r="C34">
        <f t="shared" si="3"/>
        <v>0.9994472213630764</v>
      </c>
      <c r="D34" s="6">
        <f t="shared" si="1"/>
        <v>0.70588235294117652</v>
      </c>
      <c r="E34" s="6">
        <f t="shared" si="9"/>
        <v>0.375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200.5</v>
      </c>
      <c r="L34">
        <f t="shared" si="10"/>
        <v>196.18</v>
      </c>
      <c r="M34">
        <f t="shared" si="8"/>
        <v>0.80214467220103469</v>
      </c>
      <c r="N34">
        <f t="shared" si="11"/>
        <v>199.64526498390845</v>
      </c>
      <c r="O34">
        <f t="shared" si="12"/>
        <v>160.83000677630744</v>
      </c>
      <c r="P34">
        <f t="shared" si="13"/>
        <v>38.815258207601012</v>
      </c>
      <c r="Q34">
        <f t="shared" si="14"/>
        <v>199.64526498390845</v>
      </c>
      <c r="R34" s="4"/>
    </row>
    <row r="35" spans="2:18" x14ac:dyDescent="0.3">
      <c r="B35">
        <f t="shared" si="15"/>
        <v>0.21000000000000005</v>
      </c>
      <c r="C35">
        <f t="shared" si="3"/>
        <v>0.99932491726936712</v>
      </c>
      <c r="D35" s="6">
        <f t="shared" si="1"/>
        <v>0.70588235294117652</v>
      </c>
      <c r="E35" s="6">
        <f t="shared" si="9"/>
        <v>0.375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200.91</v>
      </c>
      <c r="L35">
        <f t="shared" si="10"/>
        <v>196.11103800000001</v>
      </c>
      <c r="M35">
        <f t="shared" si="8"/>
        <v>0.79709716317613843</v>
      </c>
      <c r="N35">
        <f t="shared" si="11"/>
        <v>199.93627699639009</v>
      </c>
      <c r="O35">
        <f t="shared" si="12"/>
        <v>160.14479105371797</v>
      </c>
      <c r="P35">
        <f t="shared" si="13"/>
        <v>39.791485942672118</v>
      </c>
      <c r="Q35">
        <f t="shared" si="14"/>
        <v>199.93627699639009</v>
      </c>
      <c r="R35" s="4"/>
    </row>
    <row r="36" spans="2:18" x14ac:dyDescent="0.3">
      <c r="B36">
        <f t="shared" si="15"/>
        <v>0.22000000000000006</v>
      </c>
      <c r="C36">
        <f t="shared" si="3"/>
        <v>0.99917557531360168</v>
      </c>
      <c r="D36" s="6">
        <f t="shared" si="1"/>
        <v>0.70588235294117652</v>
      </c>
      <c r="E36" s="6">
        <f t="shared" si="9"/>
        <v>0.375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201.34</v>
      </c>
      <c r="L36">
        <f t="shared" si="10"/>
        <v>196.031488</v>
      </c>
      <c r="M36">
        <f t="shared" si="8"/>
        <v>0.79231205399776194</v>
      </c>
      <c r="N36">
        <f t="shared" si="11"/>
        <v>200.23748604639178</v>
      </c>
      <c r="O36">
        <f t="shared" si="12"/>
        <v>159.5241089519094</v>
      </c>
      <c r="P36">
        <f t="shared" si="13"/>
        <v>40.713377094482375</v>
      </c>
      <c r="Q36">
        <f t="shared" si="14"/>
        <v>200.23748604639178</v>
      </c>
      <c r="R36" s="4"/>
    </row>
    <row r="37" spans="2:18" x14ac:dyDescent="0.3">
      <c r="B37">
        <f t="shared" si="15"/>
        <v>0.23000000000000007</v>
      </c>
      <c r="C37">
        <f t="shared" si="3"/>
        <v>0.9989932291799144</v>
      </c>
      <c r="D37" s="6">
        <f t="shared" si="1"/>
        <v>0.70588235294117652</v>
      </c>
      <c r="E37" s="6">
        <f t="shared" si="9"/>
        <v>0.375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201.79</v>
      </c>
      <c r="L37">
        <f t="shared" si="10"/>
        <v>195.94031799999999</v>
      </c>
      <c r="M37">
        <f t="shared" si="8"/>
        <v>0.78777095222914983</v>
      </c>
      <c r="N37">
        <f t="shared" si="11"/>
        <v>200.5485275593777</v>
      </c>
      <c r="O37">
        <f t="shared" si="12"/>
        <v>158.96430045032014</v>
      </c>
      <c r="P37">
        <f t="shared" si="13"/>
        <v>41.584227109057572</v>
      </c>
      <c r="Q37">
        <f t="shared" si="14"/>
        <v>200.5485275593777</v>
      </c>
      <c r="R37" s="4"/>
    </row>
    <row r="38" spans="2:18" x14ac:dyDescent="0.3">
      <c r="B38">
        <f t="shared" si="15"/>
        <v>0.24000000000000007</v>
      </c>
      <c r="C38">
        <f t="shared" si="3"/>
        <v>0.99877060137872253</v>
      </c>
      <c r="D38" s="6">
        <f t="shared" si="1"/>
        <v>0.70588235294117652</v>
      </c>
      <c r="E38" s="6">
        <f t="shared" si="9"/>
        <v>0.375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202.26</v>
      </c>
      <c r="L38">
        <f t="shared" si="10"/>
        <v>195.83644799999999</v>
      </c>
      <c r="M38">
        <f t="shared" si="8"/>
        <v>0.78345608694381874</v>
      </c>
      <c r="N38">
        <f t="shared" si="11"/>
        <v>200.86901891420013</v>
      </c>
      <c r="O38">
        <f t="shared" si="12"/>
        <v>158.46182814525676</v>
      </c>
      <c r="P38">
        <f t="shared" si="13"/>
        <v>42.407190768943359</v>
      </c>
      <c r="Q38">
        <f t="shared" si="14"/>
        <v>200.86901891420013</v>
      </c>
      <c r="R38" s="4"/>
    </row>
    <row r="39" spans="2:18" x14ac:dyDescent="0.3">
      <c r="B39">
        <f t="shared" si="15"/>
        <v>0.25000000000000006</v>
      </c>
      <c r="C39">
        <f t="shared" si="3"/>
        <v>0.99849881774326299</v>
      </c>
      <c r="D39" s="6">
        <f t="shared" si="1"/>
        <v>0.70588235294117652</v>
      </c>
      <c r="E39" s="6">
        <f t="shared" si="9"/>
        <v>0.375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202.75</v>
      </c>
      <c r="L39">
        <f t="shared" si="10"/>
        <v>195.71875</v>
      </c>
      <c r="M39">
        <f t="shared" si="8"/>
        <v>0.7793501242032248</v>
      </c>
      <c r="N39">
        <f t="shared" si="11"/>
        <v>201.19855556080392</v>
      </c>
      <c r="O39">
        <f t="shared" si="12"/>
        <v>158.01323768220382</v>
      </c>
      <c r="P39">
        <f t="shared" si="13"/>
        <v>43.185317878600095</v>
      </c>
      <c r="Q39">
        <f t="shared" si="14"/>
        <v>201.19855556080392</v>
      </c>
      <c r="R39" s="4"/>
    </row>
    <row r="40" spans="2:18" x14ac:dyDescent="0.3">
      <c r="B40">
        <f t="shared" si="15"/>
        <v>0.26000000000000006</v>
      </c>
      <c r="C40">
        <f t="shared" si="3"/>
        <v>0.99816706105750719</v>
      </c>
      <c r="D40" s="6">
        <f t="shared" si="1"/>
        <v>0.70588235294117652</v>
      </c>
      <c r="E40" s="6">
        <f t="shared" si="9"/>
        <v>0.375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203.26</v>
      </c>
      <c r="L40">
        <f t="shared" si="10"/>
        <v>195.58604800000001</v>
      </c>
      <c r="M40">
        <f t="shared" si="8"/>
        <v>0.77543596927674563</v>
      </c>
      <c r="N40">
        <f t="shared" si="11"/>
        <v>201.53670640730323</v>
      </c>
      <c r="O40">
        <f t="shared" si="12"/>
        <v>157.61511511519132</v>
      </c>
      <c r="P40">
        <f t="shared" si="13"/>
        <v>43.921591292111906</v>
      </c>
      <c r="Q40">
        <f t="shared" si="14"/>
        <v>201.53670640730323</v>
      </c>
      <c r="R40" s="4"/>
    </row>
    <row r="41" spans="2:18" x14ac:dyDescent="0.3">
      <c r="B41">
        <f t="shared" si="15"/>
        <v>0.27000000000000007</v>
      </c>
      <c r="C41">
        <f t="shared" si="3"/>
        <v>0.99776215147872371</v>
      </c>
      <c r="D41" s="6">
        <f t="shared" si="1"/>
        <v>0.70588235294117652</v>
      </c>
      <c r="E41" s="6">
        <f t="shared" si="9"/>
        <v>0.375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203.79</v>
      </c>
      <c r="L41">
        <f t="shared" si="10"/>
        <v>195.437118</v>
      </c>
      <c r="M41">
        <f t="shared" si="8"/>
        <v>0.77169655066092957</v>
      </c>
      <c r="N41">
        <f t="shared" si="11"/>
        <v>201.88300822747775</v>
      </c>
      <c r="O41">
        <f t="shared" si="12"/>
        <v>157.26404005919082</v>
      </c>
      <c r="P41">
        <f t="shared" si="13"/>
        <v>44.618968168286926</v>
      </c>
      <c r="Q41">
        <f t="shared" si="14"/>
        <v>201.88300822747775</v>
      </c>
      <c r="R41" s="4"/>
    </row>
    <row r="42" spans="2:18" x14ac:dyDescent="0.3">
      <c r="B42">
        <f t="shared" si="15"/>
        <v>0.28000000000000008</v>
      </c>
      <c r="C42">
        <f t="shared" si="3"/>
        <v>0.99726803923698892</v>
      </c>
      <c r="D42" s="6">
        <f t="shared" si="1"/>
        <v>0.70588235294117652</v>
      </c>
      <c r="E42" s="6">
        <f t="shared" si="9"/>
        <v>0.375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204.34</v>
      </c>
      <c r="L42">
        <f t="shared" si="10"/>
        <v>195.27068800000001</v>
      </c>
      <c r="M42">
        <f t="shared" si="8"/>
        <v>0.76811458032261004</v>
      </c>
      <c r="N42">
        <f t="shared" si="11"/>
        <v>202.23695878069481</v>
      </c>
      <c r="O42">
        <f t="shared" si="12"/>
        <v>156.95653334312215</v>
      </c>
      <c r="P42">
        <f t="shared" si="13"/>
        <v>45.280425437572674</v>
      </c>
      <c r="Q42">
        <f t="shared" si="14"/>
        <v>202.23695878069481</v>
      </c>
      <c r="R42" s="4"/>
    </row>
    <row r="43" spans="2:18" x14ac:dyDescent="0.3">
      <c r="B43">
        <f t="shared" si="15"/>
        <v>0.29000000000000009</v>
      </c>
      <c r="C43">
        <f t="shared" si="3"/>
        <v>0.99666519269258669</v>
      </c>
      <c r="D43" s="6">
        <f t="shared" si="1"/>
        <v>0.70588235294117652</v>
      </c>
      <c r="E43" s="6">
        <f t="shared" si="9"/>
        <v>0.375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204.91</v>
      </c>
      <c r="L43">
        <f t="shared" si="10"/>
        <v>195.08543800000001</v>
      </c>
      <c r="M43">
        <f t="shared" si="8"/>
        <v>0.76467228388093067</v>
      </c>
      <c r="N43">
        <f t="shared" si="11"/>
        <v>202.59800826266979</v>
      </c>
      <c r="O43">
        <f t="shared" si="12"/>
        <v>156.6889976900415</v>
      </c>
      <c r="P43">
        <f t="shared" si="13"/>
        <v>45.909010572628304</v>
      </c>
      <c r="Q43">
        <f t="shared" si="14"/>
        <v>202.59800826266979</v>
      </c>
      <c r="R43" s="4"/>
    </row>
    <row r="44" spans="2:18" x14ac:dyDescent="0.3">
      <c r="B44">
        <f t="shared" si="15"/>
        <v>0.3000000000000001</v>
      </c>
      <c r="C44">
        <f t="shared" si="3"/>
        <v>0.99592986228410385</v>
      </c>
      <c r="D44" s="6">
        <f t="shared" si="1"/>
        <v>0.70588235294117652</v>
      </c>
      <c r="E44" s="6">
        <f t="shared" si="9"/>
        <v>0.375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205.5</v>
      </c>
      <c r="L44">
        <f t="shared" si="10"/>
        <v>194.88</v>
      </c>
      <c r="M44">
        <f t="shared" si="8"/>
        <v>0.76135109368572162</v>
      </c>
      <c r="N44">
        <f t="shared" si="11"/>
        <v>202.96554861494235</v>
      </c>
      <c r="O44">
        <f t="shared" si="12"/>
        <v>156.45764975241579</v>
      </c>
      <c r="P44">
        <f t="shared" si="13"/>
        <v>46.507898862526567</v>
      </c>
      <c r="Q44">
        <f t="shared" si="14"/>
        <v>202.96554861494235</v>
      </c>
      <c r="R44" s="4"/>
    </row>
    <row r="45" spans="2:18" x14ac:dyDescent="0.3">
      <c r="B45">
        <f t="shared" si="15"/>
        <v>0.31000000000000011</v>
      </c>
      <c r="C45">
        <f t="shared" si="3"/>
        <v>0.99503319834994297</v>
      </c>
      <c r="D45" s="6">
        <f t="shared" si="1"/>
        <v>0.70588235294117652</v>
      </c>
      <c r="E45" s="6">
        <f t="shared" si="9"/>
        <v>0.375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206.11</v>
      </c>
      <c r="L45">
        <f t="shared" si="10"/>
        <v>194.65295799999998</v>
      </c>
      <c r="M45">
        <f t="shared" si="8"/>
        <v>0.7581312969978955</v>
      </c>
      <c r="N45">
        <f t="shared" si="11"/>
        <v>203.33890011121935</v>
      </c>
      <c r="O45">
        <f t="shared" si="12"/>
        <v>156.25844162423624</v>
      </c>
      <c r="P45">
        <f t="shared" si="13"/>
        <v>47.080458486983119</v>
      </c>
      <c r="Q45">
        <f t="shared" si="14"/>
        <v>203.33890011121935</v>
      </c>
      <c r="R45" s="7"/>
    </row>
    <row r="46" spans="2:18" x14ac:dyDescent="0.3">
      <c r="B46">
        <f t="shared" si="15"/>
        <v>0.32000000000000012</v>
      </c>
      <c r="C46">
        <f t="shared" si="3"/>
        <v>0.99394019850841586</v>
      </c>
      <c r="D46" s="6">
        <f t="shared" si="1"/>
        <v>0.70588235294117652</v>
      </c>
      <c r="E46" s="6">
        <f t="shared" si="9"/>
        <v>0.375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206.74</v>
      </c>
      <c r="L46">
        <f t="shared" si="10"/>
        <v>194.40284800000001</v>
      </c>
      <c r="M46">
        <f t="shared" si="8"/>
        <v>0.75499163082339504</v>
      </c>
      <c r="N46">
        <f t="shared" si="11"/>
        <v>203.71729450819612</v>
      </c>
      <c r="O46">
        <f t="shared" si="12"/>
        <v>156.08696975642869</v>
      </c>
      <c r="P46">
        <f t="shared" si="13"/>
        <v>47.630324751767418</v>
      </c>
      <c r="Q46">
        <f t="shared" si="14"/>
        <v>203.71729450819612</v>
      </c>
      <c r="R46" s="4"/>
    </row>
    <row r="47" spans="2:18" x14ac:dyDescent="0.3">
      <c r="B47">
        <f t="shared" si="15"/>
        <v>0.33000000000000013</v>
      </c>
      <c r="C47">
        <f t="shared" si="3"/>
        <v>0.99260845865571801</v>
      </c>
      <c r="D47" s="6">
        <f t="shared" si="1"/>
        <v>0.70588235294117652</v>
      </c>
      <c r="E47" s="6">
        <f t="shared" si="9"/>
        <v>0.375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207.39000000000001</v>
      </c>
      <c r="L47">
        <f t="shared" si="10"/>
        <v>194.12815799999998</v>
      </c>
      <c r="M47">
        <f t="shared" si="8"/>
        <v>0.75190881454430225</v>
      </c>
      <c r="N47">
        <f t="shared" si="11"/>
        <v>204.09985389689385</v>
      </c>
      <c r="O47">
        <f t="shared" si="12"/>
        <v>155.93836904834285</v>
      </c>
      <c r="P47">
        <f t="shared" si="13"/>
        <v>48.161484848550991</v>
      </c>
      <c r="Q47">
        <f t="shared" si="14"/>
        <v>204.09985389689385</v>
      </c>
      <c r="R47" s="4"/>
    </row>
    <row r="48" spans="2:18" x14ac:dyDescent="0.3">
      <c r="B48">
        <f t="shared" si="15"/>
        <v>0.34000000000000014</v>
      </c>
      <c r="C48">
        <f t="shared" si="3"/>
        <v>0.99098670134715217</v>
      </c>
      <c r="D48" s="6">
        <f t="shared" si="1"/>
        <v>0.70588235294117652</v>
      </c>
      <c r="E48" s="6">
        <f t="shared" si="9"/>
        <v>0.375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208.06</v>
      </c>
      <c r="L48">
        <f t="shared" si="10"/>
        <v>193.82732799999999</v>
      </c>
      <c r="M48">
        <f t="shared" si="8"/>
        <v>0.74885701156020379</v>
      </c>
      <c r="N48">
        <f t="shared" si="11"/>
        <v>204.48556422043657</v>
      </c>
      <c r="O48">
        <f t="shared" si="12"/>
        <v>155.807189825216</v>
      </c>
      <c r="P48">
        <f t="shared" si="13"/>
        <v>48.678374395220587</v>
      </c>
      <c r="Q48">
        <f t="shared" si="14"/>
        <v>204.48556422043657</v>
      </c>
      <c r="R48" s="4"/>
    </row>
    <row r="49" spans="2:18" x14ac:dyDescent="0.3">
      <c r="B49">
        <f t="shared" si="15"/>
        <v>0.35000000000000014</v>
      </c>
      <c r="C49">
        <f t="shared" si="3"/>
        <v>0.98901305736940681</v>
      </c>
      <c r="D49" s="6">
        <f t="shared" si="1"/>
        <v>0.70588235294117652</v>
      </c>
      <c r="E49" s="6">
        <f t="shared" si="9"/>
        <v>0.375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208.75</v>
      </c>
      <c r="L49">
        <f t="shared" si="10"/>
        <v>193.49875</v>
      </c>
      <c r="M49">
        <f t="shared" si="8"/>
        <v>0.7458072120484972</v>
      </c>
      <c r="N49">
        <f t="shared" si="11"/>
        <v>204.87324224275463</v>
      </c>
      <c r="O49">
        <f t="shared" si="12"/>
        <v>155.68725551512378</v>
      </c>
      <c r="P49">
        <f t="shared" si="13"/>
        <v>49.185986727630855</v>
      </c>
      <c r="Q49">
        <f t="shared" si="14"/>
        <v>204.87324224275463</v>
      </c>
      <c r="R49" s="4"/>
    </row>
    <row r="50" spans="2:18" x14ac:dyDescent="0.3">
      <c r="B50">
        <f t="shared" si="15"/>
        <v>0.36000000000000015</v>
      </c>
      <c r="C50">
        <f t="shared" si="3"/>
        <v>0.98661308217233512</v>
      </c>
      <c r="D50" s="6">
        <f t="shared" si="1"/>
        <v>0.70588235294117652</v>
      </c>
      <c r="E50" s="6">
        <f t="shared" si="9"/>
        <v>0.375</v>
      </c>
      <c r="F50" s="8">
        <f t="shared" si="4"/>
        <v>6.4800000000000052E-2</v>
      </c>
      <c r="G50" s="8">
        <f t="shared" si="5"/>
        <v>-1.6796160000000025E-2</v>
      </c>
      <c r="H50">
        <f t="shared" si="16"/>
        <v>12.96000000000001</v>
      </c>
      <c r="I50">
        <f t="shared" si="16"/>
        <v>-3.3592320000000049</v>
      </c>
      <c r="J50">
        <f t="shared" si="6"/>
        <v>9.6007680000000057</v>
      </c>
      <c r="K50">
        <f t="shared" si="7"/>
        <v>209.46</v>
      </c>
      <c r="L50">
        <f t="shared" si="10"/>
        <v>193.14076800000001</v>
      </c>
      <c r="M50">
        <f t="shared" si="8"/>
        <v>0.74272653118470811</v>
      </c>
      <c r="N50">
        <f t="shared" si="11"/>
        <v>205.26149457495848</v>
      </c>
      <c r="O50">
        <f t="shared" si="12"/>
        <v>155.57149922194895</v>
      </c>
      <c r="P50">
        <f t="shared" si="13"/>
        <v>49.689995353009529</v>
      </c>
      <c r="Q50">
        <f t="shared" si="14"/>
        <v>205.26149457495848</v>
      </c>
      <c r="R50" s="4"/>
    </row>
    <row r="51" spans="2:18" x14ac:dyDescent="0.3">
      <c r="B51">
        <f t="shared" si="15"/>
        <v>0.37000000000000016</v>
      </c>
      <c r="C51">
        <f t="shared" si="3"/>
        <v>0.98369750062855899</v>
      </c>
      <c r="D51" s="6">
        <f t="shared" si="1"/>
        <v>0.70588235294117652</v>
      </c>
      <c r="E51" s="6">
        <f t="shared" si="9"/>
        <v>0.375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210.19000000000003</v>
      </c>
      <c r="L51">
        <f t="shared" si="10"/>
        <v>192.751678</v>
      </c>
      <c r="M51">
        <f t="shared" si="8"/>
        <v>0.73957742145948235</v>
      </c>
      <c r="N51">
        <f t="shared" si="11"/>
        <v>205.64866721934018</v>
      </c>
      <c r="O51">
        <f t="shared" si="12"/>
        <v>155.45177821656861</v>
      </c>
      <c r="P51">
        <f t="shared" si="13"/>
        <v>50.19688900277157</v>
      </c>
      <c r="Q51">
        <f t="shared" si="14"/>
        <v>205.64866721934018</v>
      </c>
      <c r="R51" s="7"/>
    </row>
    <row r="52" spans="2:18" x14ac:dyDescent="0.3">
      <c r="B52">
        <f t="shared" si="15"/>
        <v>0.38000000000000017</v>
      </c>
      <c r="C52">
        <f t="shared" si="3"/>
        <v>0.98015969426592242</v>
      </c>
      <c r="D52" s="6">
        <f t="shared" si="1"/>
        <v>0.70588235294117652</v>
      </c>
      <c r="E52" s="6">
        <f t="shared" si="9"/>
        <v>0.375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210.94000000000003</v>
      </c>
      <c r="L52">
        <f t="shared" si="10"/>
        <v>192.32972799999999</v>
      </c>
      <c r="M52">
        <f t="shared" si="8"/>
        <v>0.73631680508749331</v>
      </c>
      <c r="N52">
        <f t="shared" si="11"/>
        <v>206.03278402084925</v>
      </c>
      <c r="O52">
        <f t="shared" si="12"/>
        <v>155.31866686515585</v>
      </c>
      <c r="P52">
        <f t="shared" si="13"/>
        <v>50.714117155693394</v>
      </c>
      <c r="Q52">
        <f t="shared" si="14"/>
        <v>206.03278402084925</v>
      </c>
      <c r="R52" s="4"/>
    </row>
    <row r="53" spans="2:18" x14ac:dyDescent="0.3">
      <c r="B53">
        <f t="shared" si="15"/>
        <v>0.39000000000000018</v>
      </c>
      <c r="C53">
        <f t="shared" si="3"/>
        <v>0.97587297858233069</v>
      </c>
      <c r="D53" s="6">
        <f t="shared" si="1"/>
        <v>0.70588235294117652</v>
      </c>
      <c r="E53" s="6">
        <f t="shared" si="9"/>
        <v>0.375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211.71</v>
      </c>
      <c r="L53">
        <f t="shared" si="10"/>
        <v>191.87311799999998</v>
      </c>
      <c r="M53">
        <f t="shared" si="8"/>
        <v>0.73289514424739888</v>
      </c>
      <c r="N53">
        <f t="shared" si="11"/>
        <v>206.41147249480863</v>
      </c>
      <c r="O53">
        <f t="shared" si="12"/>
        <v>155.16123098861684</v>
      </c>
      <c r="P53">
        <f t="shared" si="13"/>
        <v>51.250241506191806</v>
      </c>
      <c r="Q53">
        <f t="shared" si="14"/>
        <v>206.41147249480863</v>
      </c>
      <c r="R53" s="4"/>
    </row>
    <row r="54" spans="2:18" x14ac:dyDescent="0.3">
      <c r="B54">
        <f t="shared" si="15"/>
        <v>0.40000000000000019</v>
      </c>
      <c r="C54">
        <f t="shared" si="3"/>
        <v>0.97068776924864353</v>
      </c>
      <c r="D54" s="6">
        <f t="shared" si="1"/>
        <v>0.70588235294117652</v>
      </c>
      <c r="E54" s="6">
        <f t="shared" si="9"/>
        <v>0.375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212.5</v>
      </c>
      <c r="L54">
        <f t="shared" si="10"/>
        <v>191.38</v>
      </c>
      <c r="M54">
        <f t="shared" si="8"/>
        <v>0.72925548467954615</v>
      </c>
      <c r="N54">
        <f t="shared" si="11"/>
        <v>206.78187583643202</v>
      </c>
      <c r="O54">
        <f t="shared" si="12"/>
        <v>154.96679049440357</v>
      </c>
      <c r="P54">
        <f t="shared" si="13"/>
        <v>51.815085342028453</v>
      </c>
      <c r="Q54">
        <f t="shared" si="14"/>
        <v>206.78187583643202</v>
      </c>
      <c r="R54" s="4"/>
    </row>
    <row r="55" spans="2:18" x14ac:dyDescent="0.3">
      <c r="B55">
        <f t="shared" si="15"/>
        <v>0.4100000000000002</v>
      </c>
      <c r="C55">
        <f t="shared" si="3"/>
        <v>0.96442881072736364</v>
      </c>
      <c r="D55" s="6">
        <f t="shared" si="1"/>
        <v>0.70588235294117652</v>
      </c>
      <c r="E55" s="6">
        <f t="shared" si="9"/>
        <v>0.375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213.31</v>
      </c>
      <c r="L55">
        <f t="shared" si="10"/>
        <v>190.848478</v>
      </c>
      <c r="M55">
        <f t="shared" si="8"/>
        <v>0.72533253392187347</v>
      </c>
      <c r="N55">
        <f t="shared" si="11"/>
        <v>207.14055066800191</v>
      </c>
      <c r="O55">
        <f t="shared" si="12"/>
        <v>154.72068281087482</v>
      </c>
      <c r="P55">
        <f t="shared" si="13"/>
        <v>52.41986785712708</v>
      </c>
      <c r="Q55">
        <f t="shared" si="14"/>
        <v>207.14055066800191</v>
      </c>
      <c r="R55" s="7"/>
    </row>
    <row r="56" spans="2:18" x14ac:dyDescent="0.3">
      <c r="B56">
        <f t="shared" si="15"/>
        <v>0.42000000000000021</v>
      </c>
      <c r="C56">
        <f t="shared" si="3"/>
        <v>0.95689274505891364</v>
      </c>
      <c r="D56" s="6">
        <f t="shared" si="1"/>
        <v>0.70588235294117652</v>
      </c>
      <c r="E56" s="6">
        <f t="shared" si="9"/>
        <v>0.375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214.14000000000001</v>
      </c>
      <c r="L56">
        <f t="shared" si="10"/>
        <v>190.27660799999998</v>
      </c>
      <c r="M56">
        <f t="shared" si="8"/>
        <v>0.72105187113025015</v>
      </c>
      <c r="N56">
        <f t="shared" si="11"/>
        <v>207.48335145311466</v>
      </c>
      <c r="O56">
        <f t="shared" si="12"/>
        <v>154.40604768383179</v>
      </c>
      <c r="P56">
        <f t="shared" si="13"/>
        <v>53.077303769282871</v>
      </c>
      <c r="Q56">
        <f t="shared" si="14"/>
        <v>207.48335145311466</v>
      </c>
      <c r="R56" s="7"/>
    </row>
    <row r="57" spans="2:18" x14ac:dyDescent="0.3">
      <c r="B57">
        <f t="shared" si="15"/>
        <v>0.43000000000000022</v>
      </c>
      <c r="C57">
        <f t="shared" si="3"/>
        <v>0.94784643692158199</v>
      </c>
      <c r="D57" s="6">
        <f t="shared" si="1"/>
        <v>0.70588235294117652</v>
      </c>
      <c r="E57" s="6">
        <f t="shared" si="9"/>
        <v>0.375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214.99</v>
      </c>
      <c r="L57">
        <f t="shared" si="10"/>
        <v>189.662398</v>
      </c>
      <c r="M57">
        <f t="shared" si="8"/>
        <v>0.71632943244000935</v>
      </c>
      <c r="N57">
        <f t="shared" si="11"/>
        <v>207.80530476572645</v>
      </c>
      <c r="O57">
        <f t="shared" si="12"/>
        <v>154.00366468027761</v>
      </c>
      <c r="P57">
        <f t="shared" si="13"/>
        <v>53.801640085448831</v>
      </c>
      <c r="Q57">
        <f t="shared" si="14"/>
        <v>207.80530476572645</v>
      </c>
      <c r="R57" s="7"/>
    </row>
    <row r="58" spans="2:18" x14ac:dyDescent="0.3">
      <c r="B58">
        <f t="shared" si="15"/>
        <v>0.44000000000000022</v>
      </c>
      <c r="C58">
        <f t="shared" si="3"/>
        <v>0.93702664394300317</v>
      </c>
      <c r="D58" s="6">
        <f t="shared" si="1"/>
        <v>0.70588235294117652</v>
      </c>
      <c r="E58" s="6">
        <f t="shared" si="9"/>
        <v>0.375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215.86</v>
      </c>
      <c r="L58">
        <f t="shared" si="10"/>
        <v>189.00380799999999</v>
      </c>
      <c r="M58">
        <f t="shared" si="8"/>
        <v>0.71107147409997562</v>
      </c>
      <c r="N58">
        <f t="shared" si="11"/>
        <v>208.10048003415199</v>
      </c>
      <c r="O58">
        <f t="shared" si="12"/>
        <v>153.49188839922076</v>
      </c>
      <c r="P58">
        <f t="shared" si="13"/>
        <v>54.60859163493123</v>
      </c>
      <c r="Q58">
        <f t="shared" si="14"/>
        <v>208.10048003415199</v>
      </c>
      <c r="R58" s="4"/>
    </row>
    <row r="59" spans="2:18" x14ac:dyDescent="0.3">
      <c r="B59">
        <f t="shared" si="15"/>
        <v>0.45000000000000023</v>
      </c>
      <c r="C59">
        <f t="shared" si="3"/>
        <v>0.92414181997875611</v>
      </c>
      <c r="D59" s="6">
        <f t="shared" si="1"/>
        <v>0.70588235294117652</v>
      </c>
      <c r="E59" s="6">
        <f t="shared" si="9"/>
        <v>0.375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216.75000000000003</v>
      </c>
      <c r="L59">
        <f t="shared" si="10"/>
        <v>188.29874999999998</v>
      </c>
      <c r="M59">
        <f t="shared" si="8"/>
        <v>0.7051752819145618</v>
      </c>
      <c r="N59">
        <f t="shared" si="11"/>
        <v>208.36186823957172</v>
      </c>
      <c r="O59">
        <f t="shared" si="12"/>
        <v>152.8467423549813</v>
      </c>
      <c r="P59">
        <f t="shared" si="13"/>
        <v>55.515125884590404</v>
      </c>
      <c r="Q59">
        <f t="shared" si="14"/>
        <v>208.36186823957172</v>
      </c>
      <c r="R59" s="7"/>
    </row>
    <row r="60" spans="2:18" x14ac:dyDescent="0.3">
      <c r="B60">
        <f t="shared" si="15"/>
        <v>0.46000000000000024</v>
      </c>
      <c r="C60">
        <f t="shared" si="3"/>
        <v>0.90887703898514338</v>
      </c>
      <c r="D60" s="6">
        <f t="shared" si="1"/>
        <v>0.70588235294117652</v>
      </c>
      <c r="E60" s="6">
        <f t="shared" si="9"/>
        <v>0.375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217.66000000000003</v>
      </c>
      <c r="L60">
        <f t="shared" si="10"/>
        <v>187.54508799999999</v>
      </c>
      <c r="M60">
        <f t="shared" si="8"/>
        <v>0.69853096110780055</v>
      </c>
      <c r="N60">
        <f t="shared" si="11"/>
        <v>208.58128642303683</v>
      </c>
      <c r="O60">
        <f t="shared" si="12"/>
        <v>152.04224899472388</v>
      </c>
      <c r="P60">
        <f t="shared" si="13"/>
        <v>56.539037428312966</v>
      </c>
      <c r="Q60">
        <f t="shared" si="14"/>
        <v>208.58128642303683</v>
      </c>
      <c r="R60" s="7"/>
    </row>
    <row r="61" spans="2:18" x14ac:dyDescent="0.3">
      <c r="B61">
        <f t="shared" si="15"/>
        <v>0.47000000000000025</v>
      </c>
      <c r="C61">
        <f t="shared" si="3"/>
        <v>0.89090317880438652</v>
      </c>
      <c r="D61" s="6">
        <f t="shared" si="1"/>
        <v>0.70588235294117652</v>
      </c>
      <c r="E61" s="6">
        <f t="shared" si="9"/>
        <v>0.375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218.59000000000003</v>
      </c>
      <c r="L61">
        <f t="shared" si="10"/>
        <v>186.74063799999999</v>
      </c>
      <c r="M61">
        <f t="shared" si="8"/>
        <v>0.69102468841185816</v>
      </c>
      <c r="N61">
        <f t="shared" si="11"/>
        <v>208.7493334521665</v>
      </c>
      <c r="O61">
        <f t="shared" si="12"/>
        <v>151.0510866399481</v>
      </c>
      <c r="P61">
        <f t="shared" si="13"/>
        <v>57.6982468122184</v>
      </c>
      <c r="Q61">
        <f t="shared" si="14"/>
        <v>208.7493334521665</v>
      </c>
      <c r="R61" s="7"/>
    </row>
    <row r="62" spans="2:18" x14ac:dyDescent="0.3">
      <c r="B62">
        <f t="shared" si="15"/>
        <v>0.48000000000000026</v>
      </c>
      <c r="C62">
        <f t="shared" si="3"/>
        <v>0.86989152563700145</v>
      </c>
      <c r="D62" s="6">
        <f t="shared" si="1"/>
        <v>0.70588235294117652</v>
      </c>
      <c r="E62" s="6">
        <f t="shared" si="9"/>
        <v>0.375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219.54000000000002</v>
      </c>
      <c r="L62">
        <f t="shared" si="10"/>
        <v>185.88316799999998</v>
      </c>
      <c r="M62">
        <f t="shared" si="8"/>
        <v>0.68254380985250895</v>
      </c>
      <c r="N62">
        <f t="shared" si="11"/>
        <v>208.85543034084586</v>
      </c>
      <c r="O62">
        <f t="shared" si="12"/>
        <v>149.84566801501984</v>
      </c>
      <c r="P62">
        <f t="shared" si="13"/>
        <v>59.009762325826017</v>
      </c>
      <c r="Q62">
        <f t="shared" si="14"/>
        <v>208.85543034084586</v>
      </c>
      <c r="R62" s="7"/>
    </row>
    <row r="63" spans="2:18" x14ac:dyDescent="0.3">
      <c r="B63" s="13">
        <f t="shared" si="15"/>
        <v>0.49000000000000027</v>
      </c>
      <c r="C63" s="13">
        <f t="shared" si="3"/>
        <v>0.84553473491646447</v>
      </c>
      <c r="D63" s="14">
        <f t="shared" si="1"/>
        <v>0.70588235294117652</v>
      </c>
      <c r="E63" s="14">
        <f t="shared" si="9"/>
        <v>0.375</v>
      </c>
      <c r="F63" s="15">
        <f t="shared" si="4"/>
        <v>0.12005000000000013</v>
      </c>
      <c r="G63" s="15">
        <f t="shared" si="5"/>
        <v>-5.7648010000000124E-2</v>
      </c>
      <c r="H63" s="13">
        <f t="shared" si="16"/>
        <v>24.010000000000026</v>
      </c>
      <c r="I63" s="13">
        <f t="shared" si="16"/>
        <v>-11.529602000000025</v>
      </c>
      <c r="J63" s="13">
        <f t="shared" si="6"/>
        <v>12.480398000000001</v>
      </c>
      <c r="K63" s="13">
        <f t="shared" si="7"/>
        <v>220.51000000000002</v>
      </c>
      <c r="L63" s="13">
        <f t="shared" si="10"/>
        <v>184.97039799999999</v>
      </c>
      <c r="M63" s="13">
        <f t="shared" si="8"/>
        <v>0.67298408393833553</v>
      </c>
      <c r="N63" s="13">
        <f t="shared" si="11"/>
        <v>208.88798449550305</v>
      </c>
      <c r="O63" s="13">
        <f t="shared" si="12"/>
        <v>148.39972034924239</v>
      </c>
      <c r="P63" s="13">
        <f t="shared" si="13"/>
        <v>60.488264146260668</v>
      </c>
      <c r="Q63" s="13">
        <f t="shared" si="14"/>
        <v>208.88798449550305</v>
      </c>
      <c r="R63" s="7"/>
    </row>
    <row r="64" spans="2:18" x14ac:dyDescent="0.3">
      <c r="B64">
        <f t="shared" si="15"/>
        <v>0.50000000000000022</v>
      </c>
      <c r="C64">
        <f t="shared" si="3"/>
        <v>0.81757447619364287</v>
      </c>
      <c r="D64" s="6">
        <f t="shared" si="1"/>
        <v>0.70588235294117652</v>
      </c>
      <c r="E64" s="6">
        <f t="shared" si="9"/>
        <v>0.375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221.50000000000003</v>
      </c>
      <c r="L64">
        <f t="shared" si="10"/>
        <v>183.99999999999997</v>
      </c>
      <c r="M64">
        <f t="shared" si="8"/>
        <v>0.6622591551568634</v>
      </c>
      <c r="N64">
        <f t="shared" si="11"/>
        <v>208.83471831838239</v>
      </c>
      <c r="O64">
        <f t="shared" si="12"/>
        <v>146.69040286724527</v>
      </c>
      <c r="P64">
        <f t="shared" si="13"/>
        <v>62.144315451137125</v>
      </c>
      <c r="Q64">
        <f t="shared" si="14"/>
        <v>208.83471831838239</v>
      </c>
      <c r="R64" s="7"/>
    </row>
    <row r="65" spans="2:18" x14ac:dyDescent="0.3">
      <c r="B65">
        <f t="shared" si="15"/>
        <v>0.51000000000000023</v>
      </c>
      <c r="C65">
        <f t="shared" si="3"/>
        <v>0.78583498304255772</v>
      </c>
      <c r="D65" s="6">
        <f t="shared" si="1"/>
        <v>0.70588235294117652</v>
      </c>
      <c r="E65" s="6">
        <f t="shared" si="9"/>
        <v>0.375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222.51000000000002</v>
      </c>
      <c r="L65">
        <f t="shared" si="10"/>
        <v>182.96959799999999</v>
      </c>
      <c r="M65">
        <f t="shared" si="8"/>
        <v>0.650311959460531</v>
      </c>
      <c r="N65">
        <f t="shared" si="11"/>
        <v>208.68319430247712</v>
      </c>
      <c r="O65">
        <f t="shared" si="12"/>
        <v>144.70091409956277</v>
      </c>
      <c r="P65">
        <f t="shared" si="13"/>
        <v>63.982280202914346</v>
      </c>
      <c r="Q65">
        <f t="shared" si="14"/>
        <v>208.68319430247712</v>
      </c>
      <c r="R65" s="7"/>
    </row>
    <row r="66" spans="2:18" x14ac:dyDescent="0.3">
      <c r="B66">
        <f t="shared" si="15"/>
        <v>0.52000000000000024</v>
      </c>
      <c r="C66">
        <f t="shared" si="3"/>
        <v>0.75026010559511658</v>
      </c>
      <c r="D66" s="6">
        <f t="shared" si="1"/>
        <v>0.70588235294117652</v>
      </c>
      <c r="E66" s="6">
        <f t="shared" si="9"/>
        <v>0.375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223.54000000000002</v>
      </c>
      <c r="L66">
        <f t="shared" si="10"/>
        <v>181.87676799999997</v>
      </c>
      <c r="M66">
        <f t="shared" si="8"/>
        <v>0.63712720863957018</v>
      </c>
      <c r="N66">
        <f t="shared" si="11"/>
        <v>208.42154670706282</v>
      </c>
      <c r="O66">
        <f t="shared" si="12"/>
        <v>142.42341621928952</v>
      </c>
      <c r="P66">
        <f t="shared" si="13"/>
        <v>65.998130487773295</v>
      </c>
      <c r="Q66">
        <f t="shared" si="14"/>
        <v>208.42154670706282</v>
      </c>
      <c r="R66" s="7"/>
    </row>
    <row r="67" spans="2:18" x14ac:dyDescent="0.3">
      <c r="B67">
        <f t="shared" si="15"/>
        <v>0.53000000000000025</v>
      </c>
      <c r="C67">
        <f t="shared" si="3"/>
        <v>0.71094950262500278</v>
      </c>
      <c r="D67" s="6">
        <f t="shared" si="1"/>
        <v>0.70588235294117652</v>
      </c>
      <c r="E67" s="6">
        <f t="shared" si="9"/>
        <v>0.375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224.59000000000003</v>
      </c>
      <c r="L67">
        <f t="shared" si="10"/>
        <v>180.71903799999998</v>
      </c>
      <c r="M67">
        <f t="shared" si="8"/>
        <v>0.62274343907353158</v>
      </c>
      <c r="N67">
        <f t="shared" si="11"/>
        <v>208.03939175134423</v>
      </c>
      <c r="O67">
        <f t="shared" si="12"/>
        <v>139.86194898152448</v>
      </c>
      <c r="P67">
        <f t="shared" si="13"/>
        <v>68.177442769819748</v>
      </c>
      <c r="Q67">
        <f t="shared" si="14"/>
        <v>208.03939175134423</v>
      </c>
      <c r="R67" s="7"/>
    </row>
    <row r="68" spans="2:18" x14ac:dyDescent="0.3">
      <c r="B68">
        <f t="shared" si="15"/>
        <v>0.54000000000000026</v>
      </c>
      <c r="C68">
        <f t="shared" si="3"/>
        <v>0.66818777216816483</v>
      </c>
      <c r="D68" s="6">
        <f t="shared" si="1"/>
        <v>0.70588235294117652</v>
      </c>
      <c r="E68" s="6">
        <f t="shared" si="9"/>
        <v>0.375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225.66000000000003</v>
      </c>
      <c r="L68">
        <f t="shared" si="10"/>
        <v>179.49388799999997</v>
      </c>
      <c r="M68">
        <f t="shared" si="8"/>
        <v>0.60726250221379008</v>
      </c>
      <c r="N68">
        <f t="shared" si="11"/>
        <v>207.52883669060208</v>
      </c>
      <c r="O68">
        <f t="shared" si="12"/>
        <v>137.03485624956389</v>
      </c>
      <c r="P68">
        <f t="shared" si="13"/>
        <v>70.493980441038204</v>
      </c>
      <c r="Q68">
        <f t="shared" si="14"/>
        <v>207.52883669060208</v>
      </c>
      <c r="R68" s="7"/>
    </row>
    <row r="69" spans="2:18" x14ac:dyDescent="0.3">
      <c r="B69">
        <f t="shared" si="15"/>
        <v>0.55000000000000027</v>
      </c>
      <c r="C69">
        <f t="shared" si="3"/>
        <v>0.62245933120185315</v>
      </c>
      <c r="D69" s="6">
        <f t="shared" si="1"/>
        <v>0.70588235294117652</v>
      </c>
      <c r="E69" s="6">
        <f t="shared" si="9"/>
        <v>0.375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226.75000000000003</v>
      </c>
      <c r="L69">
        <f t="shared" si="10"/>
        <v>178.19874999999996</v>
      </c>
      <c r="M69">
        <f t="shared" si="8"/>
        <v>0.59085406723281608</v>
      </c>
      <c r="N69">
        <f t="shared" si="11"/>
        <v>206.88545353173726</v>
      </c>
      <c r="O69">
        <f t="shared" si="12"/>
        <v>133.97615974504106</v>
      </c>
      <c r="P69">
        <f t="shared" si="13"/>
        <v>72.909293786696196</v>
      </c>
      <c r="Q69">
        <f t="shared" si="14"/>
        <v>206.88545353173726</v>
      </c>
      <c r="R69" s="7"/>
    </row>
    <row r="70" spans="2:18" x14ac:dyDescent="0.3">
      <c r="B70">
        <f t="shared" si="15"/>
        <v>0.56000000000000028</v>
      </c>
      <c r="C70">
        <f t="shared" si="3"/>
        <v>0.57444251681165748</v>
      </c>
      <c r="D70" s="6">
        <f t="shared" si="1"/>
        <v>0.70588235294117652</v>
      </c>
      <c r="E70" s="6">
        <f t="shared" si="9"/>
        <v>0.375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227.86000000000004</v>
      </c>
      <c r="L70">
        <f t="shared" si="10"/>
        <v>176.83100799999997</v>
      </c>
      <c r="M70">
        <f t="shared" si="8"/>
        <v>0.57375296882544591</v>
      </c>
      <c r="N70">
        <f t="shared" si="11"/>
        <v>206.10904365616994</v>
      </c>
      <c r="O70">
        <f t="shared" si="12"/>
        <v>130.73535147656614</v>
      </c>
      <c r="P70">
        <f t="shared" si="13"/>
        <v>75.373692179603808</v>
      </c>
      <c r="Q70">
        <f t="shared" si="14"/>
        <v>206.10904365616994</v>
      </c>
      <c r="R70" s="7"/>
    </row>
    <row r="71" spans="2:18" x14ac:dyDescent="0.3">
      <c r="B71">
        <f t="shared" si="15"/>
        <v>0.57000000000000028</v>
      </c>
      <c r="C71">
        <f t="shared" si="3"/>
        <v>0.52497918747893846</v>
      </c>
      <c r="D71" s="6">
        <f t="shared" si="1"/>
        <v>0.70588235294117652</v>
      </c>
      <c r="E71" s="6">
        <f t="shared" si="9"/>
        <v>0.375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228.99000000000004</v>
      </c>
      <c r="L71">
        <f t="shared" si="10"/>
        <v>175.38799799999995</v>
      </c>
      <c r="M71">
        <f t="shared" si="8"/>
        <v>0.55624822314493083</v>
      </c>
      <c r="N71">
        <f t="shared" si="11"/>
        <v>205.20401636951101</v>
      </c>
      <c r="O71">
        <f t="shared" si="12"/>
        <v>127.37528061795773</v>
      </c>
      <c r="P71">
        <f t="shared" si="13"/>
        <v>77.828735751553296</v>
      </c>
      <c r="Q71">
        <f t="shared" si="14"/>
        <v>205.20401636951101</v>
      </c>
      <c r="R71" s="4"/>
    </row>
    <row r="72" spans="2:18" x14ac:dyDescent="0.3">
      <c r="B72">
        <f t="shared" si="15"/>
        <v>0.58000000000000029</v>
      </c>
      <c r="C72">
        <f t="shared" si="3"/>
        <v>0.47502081252105832</v>
      </c>
      <c r="D72" s="6">
        <f t="shared" si="1"/>
        <v>0.70588235294117652</v>
      </c>
      <c r="E72" s="6">
        <f t="shared" si="9"/>
        <v>0.375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230.14000000000004</v>
      </c>
      <c r="L72">
        <f t="shared" si="10"/>
        <v>173.86700799999994</v>
      </c>
      <c r="M72">
        <f t="shared" si="8"/>
        <v>0.53866415666302725</v>
      </c>
      <c r="N72">
        <f t="shared" si="11"/>
        <v>204.17925177858527</v>
      </c>
      <c r="O72">
        <f t="shared" si="12"/>
        <v>123.96816901442911</v>
      </c>
      <c r="P72">
        <f t="shared" si="13"/>
        <v>80.21108276415616</v>
      </c>
      <c r="Q72">
        <f t="shared" si="14"/>
        <v>204.17925177858527</v>
      </c>
      <c r="R72" s="4"/>
    </row>
    <row r="73" spans="2:18" x14ac:dyDescent="0.3">
      <c r="B73">
        <f t="shared" si="15"/>
        <v>0.5900000000000003</v>
      </c>
      <c r="C73">
        <f t="shared" si="3"/>
        <v>0.42555748318833941</v>
      </c>
      <c r="D73" s="6">
        <f t="shared" si="1"/>
        <v>0.70588235294117652</v>
      </c>
      <c r="E73" s="6">
        <f t="shared" si="9"/>
        <v>0.375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231.31000000000003</v>
      </c>
      <c r="L73">
        <f t="shared" si="10"/>
        <v>172.26527799999994</v>
      </c>
      <c r="M73">
        <f t="shared" si="8"/>
        <v>0.52133593779005372</v>
      </c>
      <c r="N73">
        <f t="shared" si="11"/>
        <v>203.04741351542299</v>
      </c>
      <c r="O73">
        <f t="shared" si="12"/>
        <v>120.59021577021734</v>
      </c>
      <c r="P73">
        <f t="shared" si="13"/>
        <v>82.457197745205661</v>
      </c>
      <c r="Q73">
        <f t="shared" si="14"/>
        <v>203.04741351542299</v>
      </c>
      <c r="R73" s="4"/>
    </row>
    <row r="74" spans="2:18" x14ac:dyDescent="0.3">
      <c r="B74">
        <f t="shared" si="15"/>
        <v>0.60000000000000031</v>
      </c>
      <c r="C74">
        <f t="shared" si="3"/>
        <v>0.37754066879814385</v>
      </c>
      <c r="D74" s="6">
        <f t="shared" si="1"/>
        <v>0.70588235294117652</v>
      </c>
      <c r="E74" s="6">
        <f t="shared" si="9"/>
        <v>0.375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232.50000000000003</v>
      </c>
      <c r="L74">
        <f t="shared" si="10"/>
        <v>170.57999999999996</v>
      </c>
      <c r="M74">
        <f t="shared" si="8"/>
        <v>0.5045832571508102</v>
      </c>
      <c r="N74">
        <f t="shared" si="11"/>
        <v>201.82379528277815</v>
      </c>
      <c r="O74">
        <f t="shared" si="12"/>
        <v>117.31560728756338</v>
      </c>
      <c r="P74">
        <f t="shared" si="13"/>
        <v>84.508187995214769</v>
      </c>
      <c r="Q74">
        <f t="shared" si="14"/>
        <v>201.82379528277815</v>
      </c>
      <c r="R74" s="4"/>
    </row>
    <row r="75" spans="2:18" x14ac:dyDescent="0.3">
      <c r="B75">
        <f t="shared" si="15"/>
        <v>0.61000000000000032</v>
      </c>
      <c r="C75">
        <f t="shared" si="3"/>
        <v>0.33181222783183228</v>
      </c>
      <c r="D75" s="6">
        <f t="shared" si="1"/>
        <v>0.70588235294117652</v>
      </c>
      <c r="E75" s="6">
        <f t="shared" si="9"/>
        <v>0.375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233.71000000000004</v>
      </c>
      <c r="L75">
        <f t="shared" si="10"/>
        <v>168.80831799999993</v>
      </c>
      <c r="M75">
        <f t="shared" si="8"/>
        <v>0.48868641845295441</v>
      </c>
      <c r="N75">
        <f t="shared" si="11"/>
        <v>200.52488852815253</v>
      </c>
      <c r="O75">
        <f t="shared" si="12"/>
        <v>114.21090285663999</v>
      </c>
      <c r="P75">
        <f t="shared" si="13"/>
        <v>86.313985671512555</v>
      </c>
      <c r="Q75">
        <f t="shared" si="14"/>
        <v>200.52488852815253</v>
      </c>
      <c r="R75" s="4"/>
    </row>
    <row r="76" spans="2:18" x14ac:dyDescent="0.3">
      <c r="B76">
        <f t="shared" si="15"/>
        <v>0.62000000000000033</v>
      </c>
      <c r="C76">
        <f t="shared" si="3"/>
        <v>0.28905049737499455</v>
      </c>
      <c r="D76" s="6">
        <f t="shared" si="1"/>
        <v>0.70588235294117652</v>
      </c>
      <c r="E76" s="6">
        <f t="shared" si="9"/>
        <v>0.375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234.94000000000005</v>
      </c>
      <c r="L76">
        <f t="shared" si="10"/>
        <v>166.94732799999994</v>
      </c>
      <c r="M76">
        <f t="shared" si="8"/>
        <v>0.47386846874874267</v>
      </c>
      <c r="N76">
        <f t="shared" si="11"/>
        <v>199.16691136677551</v>
      </c>
      <c r="O76">
        <f t="shared" si="12"/>
        <v>111.33065804782963</v>
      </c>
      <c r="P76">
        <f t="shared" si="13"/>
        <v>87.836253318945879</v>
      </c>
      <c r="Q76">
        <f t="shared" si="14"/>
        <v>199.16691136677551</v>
      </c>
      <c r="R76" s="4"/>
    </row>
    <row r="77" spans="2:18" x14ac:dyDescent="0.3">
      <c r="B77">
        <f t="shared" si="15"/>
        <v>0.63000000000000034</v>
      </c>
      <c r="C77">
        <f t="shared" si="3"/>
        <v>0.24973989440488098</v>
      </c>
      <c r="D77" s="6">
        <f t="shared" si="1"/>
        <v>0.70588235294117652</v>
      </c>
      <c r="E77" s="6">
        <f t="shared" si="9"/>
        <v>0.375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236.19000000000005</v>
      </c>
      <c r="L77">
        <f t="shared" si="10"/>
        <v>164.99407799999994</v>
      </c>
      <c r="M77">
        <f t="shared" si="8"/>
        <v>0.46028546178229701</v>
      </c>
      <c r="N77">
        <f t="shared" si="11"/>
        <v>197.76452583478641</v>
      </c>
      <c r="O77">
        <f t="shared" si="12"/>
        <v>108.71482321836076</v>
      </c>
      <c r="P77">
        <f t="shared" si="13"/>
        <v>89.049702616425634</v>
      </c>
      <c r="Q77">
        <f t="shared" si="14"/>
        <v>197.76452583478641</v>
      </c>
      <c r="R77" s="4"/>
    </row>
    <row r="78" spans="2:18" x14ac:dyDescent="0.3">
      <c r="B78">
        <f t="shared" si="15"/>
        <v>0.64000000000000035</v>
      </c>
      <c r="C78">
        <f t="shared" si="3"/>
        <v>0.21416501695744006</v>
      </c>
      <c r="D78" s="6">
        <f t="shared" ref="D78:D114" si="17">$D$10/($D$10+$B$10)</f>
        <v>0.70588235294117652</v>
      </c>
      <c r="E78" s="6">
        <f t="shared" si="9"/>
        <v>0.375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237.46000000000004</v>
      </c>
      <c r="L78">
        <f t="shared" si="10"/>
        <v>162.94556799999992</v>
      </c>
      <c r="M78">
        <f t="shared" si="8"/>
        <v>0.44802508273359687</v>
      </c>
      <c r="N78">
        <f t="shared" si="11"/>
        <v>196.32990256164695</v>
      </c>
      <c r="O78">
        <f t="shared" si="12"/>
        <v>106.38803614591993</v>
      </c>
      <c r="P78">
        <f t="shared" si="13"/>
        <v>89.94186641572702</v>
      </c>
      <c r="Q78">
        <f t="shared" si="14"/>
        <v>196.32990256164695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0.18242552380635524</v>
      </c>
      <c r="D79" s="6">
        <f t="shared" si="17"/>
        <v>0.70588235294117652</v>
      </c>
      <c r="E79" s="6">
        <f t="shared" si="9"/>
        <v>0.375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238.75000000000006</v>
      </c>
      <c r="L79">
        <f t="shared" ref="L79:L80" si="24">$G$10+I79</f>
        <v>160.79874999999993</v>
      </c>
      <c r="M79">
        <f t="shared" ref="M79:M114" si="25">C79*D79^(1-EXP(-5*B79))+(1-C79)*E79</f>
        <v>0.43711227559492927</v>
      </c>
      <c r="N79">
        <f t="shared" si="11"/>
        <v>194.87219827296923</v>
      </c>
      <c r="O79">
        <f t="shared" si="12"/>
        <v>104.36055579828938</v>
      </c>
      <c r="P79">
        <f t="shared" si="13"/>
        <v>90.511642474679832</v>
      </c>
      <c r="Q79">
        <f t="shared" si="14"/>
        <v>194.87219827296923</v>
      </c>
      <c r="R79" s="4"/>
    </row>
    <row r="80" spans="2:18" x14ac:dyDescent="0.3">
      <c r="B80">
        <f t="shared" si="15"/>
        <v>0.66000000000000036</v>
      </c>
      <c r="C80">
        <f t="shared" si="19"/>
        <v>0.15446526508353364</v>
      </c>
      <c r="D80" s="6">
        <f t="shared" si="17"/>
        <v>0.70588235294117652</v>
      </c>
      <c r="E80" s="6">
        <f t="shared" ref="E80:E114" si="26">$E$10/($E$10+$C$10)</f>
        <v>0.375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240.06000000000006</v>
      </c>
      <c r="L80">
        <f t="shared" si="24"/>
        <v>158.55052799999993</v>
      </c>
      <c r="M80">
        <f t="shared" si="25"/>
        <v>0.42751959233190379</v>
      </c>
      <c r="N80">
        <f t="shared" ref="N80:N114" si="27">M80*K80+(1-M80)*L80</f>
        <v>193.39742424062871</v>
      </c>
      <c r="O80">
        <f t="shared" ref="O80:O114" si="28">K80*M80</f>
        <v>102.63035333519684</v>
      </c>
      <c r="P80">
        <f t="shared" ref="P80:P114" si="29">(1-M80)*L80</f>
        <v>90.767070905431865</v>
      </c>
      <c r="Q80">
        <f t="shared" ref="Q80:Q114" si="30">P80+O80</f>
        <v>193.39742424062871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0.13010847436299688</v>
      </c>
      <c r="D81" s="6">
        <f t="shared" si="17"/>
        <v>0.70588235294117652</v>
      </c>
      <c r="E81" s="6">
        <f t="shared" si="26"/>
        <v>0.375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241.39000000000004</v>
      </c>
      <c r="L81">
        <f t="shared" ref="L81:L114" si="32">$G$10+I81</f>
        <v>156.19775799999991</v>
      </c>
      <c r="M81">
        <f t="shared" si="25"/>
        <v>0.4191797945291702</v>
      </c>
      <c r="N81">
        <f t="shared" si="27"/>
        <v>191.90862449703931</v>
      </c>
      <c r="O81">
        <f t="shared" si="28"/>
        <v>101.18581060139641</v>
      </c>
      <c r="P81">
        <f t="shared" si="29"/>
        <v>90.722813895642901</v>
      </c>
      <c r="Q81">
        <f t="shared" si="30"/>
        <v>191.90862449703931</v>
      </c>
      <c r="R81" s="4"/>
    </row>
    <row r="82" spans="2:18" x14ac:dyDescent="0.3">
      <c r="B82">
        <f t="shared" si="31"/>
        <v>0.68000000000000038</v>
      </c>
      <c r="C82">
        <f t="shared" si="19"/>
        <v>0.10909682119561204</v>
      </c>
      <c r="D82" s="6">
        <f t="shared" si="17"/>
        <v>0.70588235294117652</v>
      </c>
      <c r="E82" s="6">
        <f t="shared" si="26"/>
        <v>0.375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242.74000000000007</v>
      </c>
      <c r="L82">
        <f t="shared" si="32"/>
        <v>153.73724799999991</v>
      </c>
      <c r="M82">
        <f t="shared" si="25"/>
        <v>0.41199860483364587</v>
      </c>
      <c r="N82">
        <f t="shared" si="27"/>
        <v>190.40625765035497</v>
      </c>
      <c r="O82">
        <f t="shared" si="28"/>
        <v>100.00854133731923</v>
      </c>
      <c r="P82">
        <f t="shared" si="29"/>
        <v>90.39771631303573</v>
      </c>
      <c r="Q82">
        <f t="shared" si="30"/>
        <v>190.40625765035497</v>
      </c>
      <c r="R82" s="4"/>
    </row>
    <row r="83" spans="2:18" x14ac:dyDescent="0.3">
      <c r="B83">
        <f t="shared" si="31"/>
        <v>0.69000000000000039</v>
      </c>
      <c r="C83">
        <f t="shared" si="19"/>
        <v>9.1122961014855508E-2</v>
      </c>
      <c r="D83" s="6">
        <f t="shared" si="17"/>
        <v>0.70588235294117652</v>
      </c>
      <c r="E83" s="6">
        <f t="shared" si="26"/>
        <v>0.375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244.11000000000004</v>
      </c>
      <c r="L83">
        <f t="shared" si="32"/>
        <v>151.1657579999999</v>
      </c>
      <c r="M83">
        <f t="shared" si="25"/>
        <v>0.40586614970718832</v>
      </c>
      <c r="N83">
        <f t="shared" si="27"/>
        <v>188.88867963799311</v>
      </c>
      <c r="O83">
        <f t="shared" si="28"/>
        <v>99.075985805021759</v>
      </c>
      <c r="P83">
        <f t="shared" si="29"/>
        <v>89.812693832971348</v>
      </c>
      <c r="Q83">
        <f t="shared" si="30"/>
        <v>188.88867963799311</v>
      </c>
      <c r="R83" s="4"/>
    </row>
    <row r="84" spans="2:18" x14ac:dyDescent="0.3">
      <c r="B84">
        <f t="shared" si="31"/>
        <v>0.7000000000000004</v>
      </c>
      <c r="C84">
        <f t="shared" si="19"/>
        <v>7.5858180021242894E-2</v>
      </c>
      <c r="D84" s="6">
        <f t="shared" si="17"/>
        <v>0.70588235294117652</v>
      </c>
      <c r="E84" s="6">
        <f t="shared" si="26"/>
        <v>0.375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245.50000000000006</v>
      </c>
      <c r="L84">
        <f t="shared" si="32"/>
        <v>148.4799999999999</v>
      </c>
      <c r="M84">
        <f t="shared" si="25"/>
        <v>0.40066630957559451</v>
      </c>
      <c r="N84">
        <f t="shared" si="27"/>
        <v>187.35264535502415</v>
      </c>
      <c r="O84">
        <f t="shared" si="28"/>
        <v>98.363579000808471</v>
      </c>
      <c r="P84">
        <f t="shared" si="29"/>
        <v>88.98906635421568</v>
      </c>
      <c r="Q84">
        <f t="shared" si="30"/>
        <v>187.35264535502415</v>
      </c>
      <c r="R84" s="4"/>
    </row>
    <row r="85" spans="2:18" x14ac:dyDescent="0.3">
      <c r="B85">
        <f t="shared" si="31"/>
        <v>0.71000000000000041</v>
      </c>
      <c r="C85">
        <f t="shared" si="19"/>
        <v>6.2973356056995833E-2</v>
      </c>
      <c r="D85" s="6">
        <f t="shared" si="17"/>
        <v>0.70588235294117652</v>
      </c>
      <c r="E85" s="6">
        <f t="shared" si="26"/>
        <v>0.375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246.91000000000005</v>
      </c>
      <c r="L85">
        <f t="shared" si="32"/>
        <v>145.67663799999991</v>
      </c>
      <c r="M85">
        <f t="shared" si="25"/>
        <v>0.39628374383591464</v>
      </c>
      <c r="N85">
        <f t="shared" si="27"/>
        <v>185.79377369445638</v>
      </c>
      <c r="O85">
        <f t="shared" si="28"/>
        <v>97.846419190525708</v>
      </c>
      <c r="P85">
        <f t="shared" si="29"/>
        <v>87.947354503930683</v>
      </c>
      <c r="Q85">
        <f t="shared" si="30"/>
        <v>185.79377369445638</v>
      </c>
      <c r="R85" s="4"/>
    </row>
    <row r="86" spans="2:18" x14ac:dyDescent="0.3">
      <c r="B86">
        <f t="shared" si="31"/>
        <v>0.72000000000000042</v>
      </c>
      <c r="C86">
        <f t="shared" si="19"/>
        <v>5.2153563078417231E-2</v>
      </c>
      <c r="D86" s="6">
        <f t="shared" si="17"/>
        <v>0.70588235294117652</v>
      </c>
      <c r="E86" s="6">
        <f t="shared" si="26"/>
        <v>0.375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248.34000000000006</v>
      </c>
      <c r="L86">
        <f t="shared" si="32"/>
        <v>142.75228799999985</v>
      </c>
      <c r="M86">
        <f t="shared" si="25"/>
        <v>0.39260872898061044</v>
      </c>
      <c r="N86">
        <f t="shared" si="27"/>
        <v>184.20694540429071</v>
      </c>
      <c r="O86">
        <f t="shared" si="28"/>
        <v>97.500451755044821</v>
      </c>
      <c r="P86">
        <f t="shared" si="29"/>
        <v>86.706493649245871</v>
      </c>
      <c r="Q86">
        <f t="shared" si="30"/>
        <v>184.20694540429071</v>
      </c>
      <c r="R86" s="4"/>
    </row>
    <row r="87" spans="2:18" x14ac:dyDescent="0.3">
      <c r="B87">
        <f t="shared" si="31"/>
        <v>0.73000000000000043</v>
      </c>
      <c r="C87">
        <f t="shared" si="19"/>
        <v>4.3107254941085693E-2</v>
      </c>
      <c r="D87" s="6">
        <f t="shared" si="17"/>
        <v>0.70588235294117652</v>
      </c>
      <c r="E87" s="6">
        <f t="shared" si="26"/>
        <v>0.375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249.79000000000008</v>
      </c>
      <c r="L87">
        <f t="shared" si="32"/>
        <v>139.70351799999986</v>
      </c>
      <c r="M87">
        <f t="shared" si="25"/>
        <v>0.38954014764864031</v>
      </c>
      <c r="N87">
        <f t="shared" si="27"/>
        <v>182.58662245239933</v>
      </c>
      <c r="O87">
        <f t="shared" si="28"/>
        <v>97.303233481153896</v>
      </c>
      <c r="P87">
        <f t="shared" si="29"/>
        <v>85.283388971245429</v>
      </c>
      <c r="Q87">
        <f t="shared" si="30"/>
        <v>182.58662245239933</v>
      </c>
      <c r="R87" s="4"/>
    </row>
    <row r="88" spans="2:18" x14ac:dyDescent="0.3">
      <c r="B88">
        <f t="shared" si="31"/>
        <v>0.74000000000000044</v>
      </c>
      <c r="C88">
        <f t="shared" si="19"/>
        <v>3.5571189272635917E-2</v>
      </c>
      <c r="D88" s="6">
        <f t="shared" si="17"/>
        <v>0.70588235294117652</v>
      </c>
      <c r="E88" s="6">
        <f t="shared" si="26"/>
        <v>0.375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251.26000000000005</v>
      </c>
      <c r="L88">
        <f t="shared" si="32"/>
        <v>136.52684799999986</v>
      </c>
      <c r="M88">
        <f t="shared" si="25"/>
        <v>0.38698703599960976</v>
      </c>
      <c r="N88">
        <f t="shared" si="27"/>
        <v>180.92709042337265</v>
      </c>
      <c r="O88">
        <f t="shared" si="28"/>
        <v>97.234362665261969</v>
      </c>
      <c r="P88">
        <f t="shared" si="29"/>
        <v>83.692727758110678</v>
      </c>
      <c r="Q88">
        <f t="shared" si="30"/>
        <v>180.92709042337265</v>
      </c>
      <c r="R88" s="4"/>
    </row>
    <row r="89" spans="2:18" x14ac:dyDescent="0.3">
      <c r="B89">
        <f t="shared" si="31"/>
        <v>0.75000000000000044</v>
      </c>
      <c r="C89">
        <f t="shared" si="19"/>
        <v>2.9312230751356028E-2</v>
      </c>
      <c r="D89" s="6">
        <f t="shared" si="17"/>
        <v>0.70588235294117652</v>
      </c>
      <c r="E89" s="6">
        <f t="shared" si="26"/>
        <v>0.375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252.75000000000006</v>
      </c>
      <c r="L89">
        <f t="shared" si="32"/>
        <v>133.21874999999983</v>
      </c>
      <c r="M89">
        <f t="shared" si="25"/>
        <v>0.38486908385522034</v>
      </c>
      <c r="N89">
        <f t="shared" si="27"/>
        <v>179.22263267956924</v>
      </c>
      <c r="O89">
        <f t="shared" si="28"/>
        <v>97.275660944406965</v>
      </c>
      <c r="P89">
        <f t="shared" si="29"/>
        <v>81.946971735162265</v>
      </c>
      <c r="Q89">
        <f t="shared" si="30"/>
        <v>179.22263267956924</v>
      </c>
      <c r="R89" s="4"/>
    </row>
    <row r="90" spans="2:18" x14ac:dyDescent="0.3">
      <c r="B90">
        <f t="shared" si="31"/>
        <v>0.76000000000000045</v>
      </c>
      <c r="C90">
        <f t="shared" si="19"/>
        <v>2.4127021417668981E-2</v>
      </c>
      <c r="D90" s="6">
        <f t="shared" si="17"/>
        <v>0.70588235294117652</v>
      </c>
      <c r="E90" s="6">
        <f t="shared" si="26"/>
        <v>0.375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254.26000000000008</v>
      </c>
      <c r="L90">
        <f t="shared" si="32"/>
        <v>129.77564799999985</v>
      </c>
      <c r="M90">
        <f t="shared" si="25"/>
        <v>0.38311642637727417</v>
      </c>
      <c r="N90">
        <f t="shared" si="27"/>
        <v>177.46764807813059</v>
      </c>
      <c r="O90">
        <f t="shared" si="28"/>
        <v>97.411182570685753</v>
      </c>
      <c r="P90">
        <f t="shared" si="29"/>
        <v>80.056465507444855</v>
      </c>
      <c r="Q90">
        <f t="shared" si="30"/>
        <v>177.46764807813059</v>
      </c>
      <c r="R90" s="4"/>
    </row>
    <row r="91" spans="2:18" x14ac:dyDescent="0.3">
      <c r="B91">
        <f t="shared" si="31"/>
        <v>0.77000000000000046</v>
      </c>
      <c r="C91">
        <f t="shared" si="19"/>
        <v>1.9840305734077246E-2</v>
      </c>
      <c r="D91" s="6">
        <f t="shared" si="17"/>
        <v>0.70588235294117652</v>
      </c>
      <c r="E91" s="6">
        <f t="shared" si="26"/>
        <v>0.375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255.79000000000008</v>
      </c>
      <c r="L91">
        <f t="shared" si="32"/>
        <v>126.19391799999983</v>
      </c>
      <c r="M91">
        <f t="shared" si="25"/>
        <v>0.38166899540706956</v>
      </c>
      <c r="N91">
        <f t="shared" si="27"/>
        <v>175.65672442563212</v>
      </c>
      <c r="O91">
        <f t="shared" si="28"/>
        <v>97.627112335174346</v>
      </c>
      <c r="P91">
        <f t="shared" si="29"/>
        <v>78.029612090457775</v>
      </c>
      <c r="Q91">
        <f t="shared" si="30"/>
        <v>175.65672442563212</v>
      </c>
      <c r="R91" s="4"/>
    </row>
    <row r="92" spans="2:18" x14ac:dyDescent="0.3">
      <c r="B92">
        <f t="shared" si="31"/>
        <v>0.78000000000000047</v>
      </c>
      <c r="C92">
        <f t="shared" si="19"/>
        <v>1.6302499371440682E-2</v>
      </c>
      <c r="D92" s="6">
        <f t="shared" si="17"/>
        <v>0.70588235294117652</v>
      </c>
      <c r="E92" s="6">
        <f t="shared" si="26"/>
        <v>0.375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257.34000000000009</v>
      </c>
      <c r="L92">
        <f t="shared" si="32"/>
        <v>122.46988799999983</v>
      </c>
      <c r="M92">
        <f t="shared" si="25"/>
        <v>0.38047562946965297</v>
      </c>
      <c r="N92">
        <f t="shared" si="27"/>
        <v>173.78467875984251</v>
      </c>
      <c r="O92">
        <f t="shared" si="28"/>
        <v>97.911598487720525</v>
      </c>
      <c r="P92">
        <f t="shared" si="29"/>
        <v>75.873080272121996</v>
      </c>
      <c r="Q92">
        <f t="shared" si="30"/>
        <v>173.78467875984251</v>
      </c>
      <c r="R92" s="4"/>
    </row>
    <row r="93" spans="2:18" x14ac:dyDescent="0.3">
      <c r="B93">
        <f t="shared" si="31"/>
        <v>0.79000000000000048</v>
      </c>
      <c r="C93">
        <f t="shared" si="19"/>
        <v>1.3386917827664657E-2</v>
      </c>
      <c r="D93" s="6">
        <f t="shared" si="17"/>
        <v>0.70588235294117652</v>
      </c>
      <c r="E93" s="6">
        <f t="shared" si="26"/>
        <v>0.375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258.91000000000008</v>
      </c>
      <c r="L93">
        <f t="shared" si="32"/>
        <v>118.59983799999981</v>
      </c>
      <c r="M93">
        <f t="shared" si="25"/>
        <v>0.37949308191708819</v>
      </c>
      <c r="N93">
        <f t="shared" si="27"/>
        <v>171.84657380166584</v>
      </c>
      <c r="O93">
        <f t="shared" si="28"/>
        <v>98.254553839153331</v>
      </c>
      <c r="P93">
        <f t="shared" si="29"/>
        <v>73.592019962512495</v>
      </c>
      <c r="Q93">
        <f t="shared" si="30"/>
        <v>171.84657380166584</v>
      </c>
      <c r="R93" s="4"/>
    </row>
    <row r="94" spans="2:18" x14ac:dyDescent="0.3">
      <c r="B94">
        <f t="shared" si="31"/>
        <v>0.80000000000000049</v>
      </c>
      <c r="C94">
        <f t="shared" si="19"/>
        <v>1.0986942630593188E-2</v>
      </c>
      <c r="D94" s="6">
        <f t="shared" si="17"/>
        <v>0.70588235294117652</v>
      </c>
      <c r="E94" s="6">
        <f t="shared" si="26"/>
        <v>0.375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260.50000000000011</v>
      </c>
      <c r="L94">
        <f t="shared" si="32"/>
        <v>114.5799999999998</v>
      </c>
      <c r="M94">
        <f t="shared" si="25"/>
        <v>0.37868501940837762</v>
      </c>
      <c r="N94">
        <f t="shared" si="27"/>
        <v>169.83771803207037</v>
      </c>
      <c r="O94">
        <f t="shared" si="28"/>
        <v>98.647447555882408</v>
      </c>
      <c r="P94">
        <f t="shared" si="29"/>
        <v>71.190270476187962</v>
      </c>
      <c r="Q94">
        <f t="shared" si="30"/>
        <v>169.83771803207037</v>
      </c>
      <c r="R94" s="7"/>
    </row>
    <row r="95" spans="2:18" x14ac:dyDescent="0.3">
      <c r="B95">
        <f t="shared" si="31"/>
        <v>0.8100000000000005</v>
      </c>
      <c r="C95">
        <f t="shared" si="19"/>
        <v>9.0132986528477232E-3</v>
      </c>
      <c r="D95" s="6">
        <f t="shared" si="17"/>
        <v>0.70588235294117652</v>
      </c>
      <c r="E95" s="6">
        <f t="shared" si="26"/>
        <v>0.375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262.11000000000007</v>
      </c>
      <c r="L95">
        <f t="shared" si="32"/>
        <v>110.40655799999979</v>
      </c>
      <c r="M95">
        <f t="shared" si="25"/>
        <v>0.37802106755538395</v>
      </c>
      <c r="N95">
        <f t="shared" si="27"/>
        <v>167.75365509666617</v>
      </c>
      <c r="O95">
        <f t="shared" si="28"/>
        <v>99.083102016941709</v>
      </c>
      <c r="P95">
        <f t="shared" si="29"/>
        <v>68.670553079724456</v>
      </c>
      <c r="Q95">
        <f t="shared" si="30"/>
        <v>167.75365509666617</v>
      </c>
      <c r="R95" s="4"/>
    </row>
    <row r="96" spans="2:18" x14ac:dyDescent="0.3">
      <c r="B96">
        <f t="shared" si="31"/>
        <v>0.82000000000000051</v>
      </c>
      <c r="C96">
        <f t="shared" si="19"/>
        <v>7.3915413442818823E-3</v>
      </c>
      <c r="D96" s="6">
        <f t="shared" si="17"/>
        <v>0.70588235294117652</v>
      </c>
      <c r="E96" s="6">
        <f t="shared" si="26"/>
        <v>0.375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263.74000000000007</v>
      </c>
      <c r="L96">
        <f t="shared" si="32"/>
        <v>106.07564799999979</v>
      </c>
      <c r="M96">
        <f t="shared" si="25"/>
        <v>0.37747593538311902</v>
      </c>
      <c r="N96">
        <f t="shared" si="27"/>
        <v>165.59014674777325</v>
      </c>
      <c r="O96">
        <f t="shared" si="28"/>
        <v>99.555503197943835</v>
      </c>
      <c r="P96">
        <f t="shared" si="29"/>
        <v>66.034643549829397</v>
      </c>
      <c r="Q96">
        <f t="shared" si="30"/>
        <v>165.59014674777325</v>
      </c>
      <c r="R96" s="4"/>
    </row>
    <row r="97" spans="2:18" x14ac:dyDescent="0.3">
      <c r="B97">
        <f t="shared" si="31"/>
        <v>0.83000000000000052</v>
      </c>
      <c r="C97">
        <f t="shared" si="19"/>
        <v>6.059801491584027E-3</v>
      </c>
      <c r="D97" s="6">
        <f t="shared" si="17"/>
        <v>0.70588235294117652</v>
      </c>
      <c r="E97" s="6">
        <f t="shared" si="26"/>
        <v>0.375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265.3900000000001</v>
      </c>
      <c r="L97">
        <f t="shared" si="32"/>
        <v>101.58335799999978</v>
      </c>
      <c r="M97">
        <f t="shared" si="25"/>
        <v>0.37702863313294732</v>
      </c>
      <c r="N97">
        <f t="shared" si="27"/>
        <v>163.34315233135794</v>
      </c>
      <c r="O97">
        <f t="shared" si="28"/>
        <v>100.05962894715293</v>
      </c>
      <c r="P97">
        <f t="shared" si="29"/>
        <v>63.283523384205012</v>
      </c>
      <c r="Q97">
        <f t="shared" si="30"/>
        <v>163.34315233135794</v>
      </c>
      <c r="R97" s="4"/>
    </row>
    <row r="98" spans="2:18" x14ac:dyDescent="0.3">
      <c r="B98">
        <f t="shared" si="31"/>
        <v>0.84000000000000052</v>
      </c>
      <c r="C98">
        <f t="shared" si="19"/>
        <v>4.9668016500568068E-3</v>
      </c>
      <c r="D98" s="6">
        <f t="shared" si="17"/>
        <v>0.70588235294117652</v>
      </c>
      <c r="E98" s="6">
        <f t="shared" si="26"/>
        <v>0.375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267.06000000000006</v>
      </c>
      <c r="L98">
        <f t="shared" si="32"/>
        <v>96.925727999999751</v>
      </c>
      <c r="M98">
        <f t="shared" si="25"/>
        <v>0.37666178685290108</v>
      </c>
      <c r="N98">
        <f t="shared" si="27"/>
        <v>161.00880689643736</v>
      </c>
      <c r="O98">
        <f t="shared" si="28"/>
        <v>100.59129679693578</v>
      </c>
      <c r="P98">
        <f t="shared" si="29"/>
        <v>60.417510099501577</v>
      </c>
      <c r="Q98">
        <f t="shared" si="30"/>
        <v>161.00880689643736</v>
      </c>
      <c r="R98" s="4"/>
    </row>
    <row r="99" spans="2:18" x14ac:dyDescent="0.3">
      <c r="B99">
        <f t="shared" si="31"/>
        <v>0.85000000000000053</v>
      </c>
      <c r="C99">
        <f t="shared" si="19"/>
        <v>4.0701377158960383E-3</v>
      </c>
      <c r="D99" s="6">
        <f t="shared" si="17"/>
        <v>0.70588235294117652</v>
      </c>
      <c r="E99" s="6">
        <f t="shared" si="26"/>
        <v>0.375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268.75000000000011</v>
      </c>
      <c r="L99">
        <f t="shared" si="32"/>
        <v>92.09874999999974</v>
      </c>
      <c r="M99">
        <f t="shared" si="25"/>
        <v>0.37636104646000057</v>
      </c>
      <c r="N99">
        <f t="shared" si="27"/>
        <v>158.58339930846705</v>
      </c>
      <c r="O99">
        <f t="shared" si="28"/>
        <v>101.1470312361252</v>
      </c>
      <c r="P99">
        <f t="shared" si="29"/>
        <v>57.436368072341857</v>
      </c>
      <c r="Q99">
        <f t="shared" si="30"/>
        <v>158.58339930846705</v>
      </c>
      <c r="R99" s="4"/>
    </row>
    <row r="100" spans="2:18" x14ac:dyDescent="0.3">
      <c r="B100">
        <f t="shared" si="31"/>
        <v>0.86000000000000054</v>
      </c>
      <c r="C100">
        <f t="shared" si="19"/>
        <v>3.3348073074133122E-3</v>
      </c>
      <c r="D100" s="6">
        <f t="shared" si="17"/>
        <v>0.70588235294117652</v>
      </c>
      <c r="E100" s="6">
        <f t="shared" si="26"/>
        <v>0.375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270.46000000000009</v>
      </c>
      <c r="L100">
        <f t="shared" si="32"/>
        <v>87.098367999999724</v>
      </c>
      <c r="M100">
        <f t="shared" si="25"/>
        <v>0.37611458018245097</v>
      </c>
      <c r="N100">
        <f t="shared" si="27"/>
        <v>156.06335124124894</v>
      </c>
      <c r="O100">
        <f t="shared" si="28"/>
        <v>101.72394935614572</v>
      </c>
      <c r="P100">
        <f t="shared" si="29"/>
        <v>54.3394018851032</v>
      </c>
      <c r="Q100">
        <f t="shared" si="30"/>
        <v>156.06335124124894</v>
      </c>
      <c r="R100" s="4"/>
    </row>
    <row r="101" spans="2:18" x14ac:dyDescent="0.3">
      <c r="B101">
        <f t="shared" si="31"/>
        <v>0.87000000000000055</v>
      </c>
      <c r="C101">
        <f t="shared" si="19"/>
        <v>2.7319607630109655E-3</v>
      </c>
      <c r="D101" s="6">
        <f t="shared" si="17"/>
        <v>0.70588235294117652</v>
      </c>
      <c r="E101" s="6">
        <f t="shared" si="26"/>
        <v>0.375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272.19000000000011</v>
      </c>
      <c r="L101">
        <f t="shared" si="32"/>
        <v>81.920477999999719</v>
      </c>
      <c r="M101">
        <f t="shared" si="25"/>
        <v>0.37591264649272277</v>
      </c>
      <c r="N101">
        <f t="shared" si="27"/>
        <v>153.44519756192523</v>
      </c>
      <c r="O101">
        <f t="shared" si="28"/>
        <v>102.31966324885425</v>
      </c>
      <c r="P101">
        <f t="shared" si="29"/>
        <v>51.125534313070958</v>
      </c>
      <c r="Q101">
        <f t="shared" si="30"/>
        <v>153.44519756192523</v>
      </c>
      <c r="R101" s="4"/>
    </row>
    <row r="102" spans="2:18" x14ac:dyDescent="0.3">
      <c r="B102">
        <f t="shared" si="31"/>
        <v>0.88000000000000056</v>
      </c>
      <c r="C102">
        <f t="shared" si="19"/>
        <v>2.2378485212761756E-3</v>
      </c>
      <c r="D102" s="6">
        <f t="shared" si="17"/>
        <v>0.70588235294117652</v>
      </c>
      <c r="E102" s="6">
        <f t="shared" si="26"/>
        <v>0.375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273.94000000000011</v>
      </c>
      <c r="L102">
        <f t="shared" si="32"/>
        <v>76.560927999999691</v>
      </c>
      <c r="M102">
        <f t="shared" si="25"/>
        <v>0.37574723410657379</v>
      </c>
      <c r="N102">
        <f t="shared" si="27"/>
        <v>150.72556837452214</v>
      </c>
      <c r="O102">
        <f t="shared" si="28"/>
        <v>102.93219731115487</v>
      </c>
      <c r="P102">
        <f t="shared" si="29"/>
        <v>47.793371063367275</v>
      </c>
      <c r="Q102">
        <f t="shared" si="30"/>
        <v>150.72556837452214</v>
      </c>
      <c r="R102" s="4"/>
    </row>
    <row r="103" spans="2:18" x14ac:dyDescent="0.3">
      <c r="B103">
        <f t="shared" si="31"/>
        <v>0.89000000000000057</v>
      </c>
      <c r="C103">
        <f t="shared" si="19"/>
        <v>1.8329389424928122E-3</v>
      </c>
      <c r="D103" s="6">
        <f t="shared" si="17"/>
        <v>0.70588235294117652</v>
      </c>
      <c r="E103" s="6">
        <f t="shared" si="26"/>
        <v>0.375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275.71000000000009</v>
      </c>
      <c r="L103">
        <f t="shared" si="32"/>
        <v>71.015517999999673</v>
      </c>
      <c r="M103">
        <f t="shared" si="25"/>
        <v>0.37561176084855158</v>
      </c>
      <c r="N103">
        <f t="shared" si="27"/>
        <v>147.90117282000199</v>
      </c>
      <c r="O103">
        <f t="shared" si="28"/>
        <v>103.55991858355419</v>
      </c>
      <c r="P103">
        <f t="shared" si="29"/>
        <v>44.341254236447782</v>
      </c>
      <c r="Q103">
        <f t="shared" si="30"/>
        <v>147.90117282000199</v>
      </c>
      <c r="R103" s="4"/>
    </row>
    <row r="104" spans="2:18" x14ac:dyDescent="0.3">
      <c r="B104">
        <f t="shared" si="31"/>
        <v>0.90000000000000058</v>
      </c>
      <c r="C104">
        <f t="shared" si="19"/>
        <v>1.5011822567370103E-3</v>
      </c>
      <c r="D104" s="6">
        <f t="shared" si="17"/>
        <v>0.70588235294117652</v>
      </c>
      <c r="E104" s="6">
        <f t="shared" si="26"/>
        <v>0.375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277.50000000000011</v>
      </c>
      <c r="L104">
        <f t="shared" si="32"/>
        <v>65.27999999999966</v>
      </c>
      <c r="M104">
        <f t="shared" si="25"/>
        <v>0.37550082283509001</v>
      </c>
      <c r="N104">
        <f t="shared" si="27"/>
        <v>144.96878462206263</v>
      </c>
      <c r="O104">
        <f t="shared" si="28"/>
        <v>104.20147833673752</v>
      </c>
      <c r="P104">
        <f t="shared" si="29"/>
        <v>40.767306285325112</v>
      </c>
      <c r="Q104">
        <f t="shared" si="30"/>
        <v>144.96878462206263</v>
      </c>
      <c r="R104" s="4"/>
    </row>
    <row r="105" spans="2:18" x14ac:dyDescent="0.3">
      <c r="B105">
        <f t="shared" si="31"/>
        <v>0.91000000000000059</v>
      </c>
      <c r="C105">
        <f t="shared" si="19"/>
        <v>1.2293986212773556E-3</v>
      </c>
      <c r="D105" s="6">
        <f t="shared" si="17"/>
        <v>0.70588235294117652</v>
      </c>
      <c r="E105" s="6">
        <f t="shared" si="26"/>
        <v>0.375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279.31000000000012</v>
      </c>
      <c r="L105">
        <f t="shared" si="32"/>
        <v>59.350077999999655</v>
      </c>
      <c r="M105">
        <f t="shared" si="25"/>
        <v>0.37540998628257644</v>
      </c>
      <c r="N105">
        <f t="shared" si="27"/>
        <v>141.92522930073642</v>
      </c>
      <c r="O105">
        <f t="shared" si="28"/>
        <v>104.85576326858647</v>
      </c>
      <c r="P105">
        <f t="shared" si="29"/>
        <v>37.069466032149947</v>
      </c>
      <c r="Q105">
        <f t="shared" si="30"/>
        <v>141.92522930073642</v>
      </c>
      <c r="R105" s="4"/>
    </row>
    <row r="106" spans="2:18" x14ac:dyDescent="0.3">
      <c r="B106">
        <f t="shared" si="31"/>
        <v>0.9200000000000006</v>
      </c>
      <c r="C106">
        <f t="shared" si="19"/>
        <v>1.0067708200856007E-3</v>
      </c>
      <c r="D106" s="6">
        <f t="shared" si="17"/>
        <v>0.70588235294117652</v>
      </c>
      <c r="E106" s="6">
        <f t="shared" si="26"/>
        <v>0.375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281.1400000000001</v>
      </c>
      <c r="L106">
        <f t="shared" si="32"/>
        <v>53.221407999999656</v>
      </c>
      <c r="M106">
        <f t="shared" si="25"/>
        <v>0.37533561517178216</v>
      </c>
      <c r="N106">
        <f t="shared" si="27"/>
        <v>138.76737293740626</v>
      </c>
      <c r="O106">
        <f t="shared" si="28"/>
        <v>105.52185484939487</v>
      </c>
      <c r="P106">
        <f t="shared" si="29"/>
        <v>33.24551808801138</v>
      </c>
      <c r="Q106">
        <f t="shared" si="30"/>
        <v>138.76737293740626</v>
      </c>
      <c r="R106" s="4"/>
    </row>
    <row r="107" spans="2:18" x14ac:dyDescent="0.3">
      <c r="B107">
        <f t="shared" si="31"/>
        <v>0.9300000000000006</v>
      </c>
      <c r="C107">
        <f t="shared" si="19"/>
        <v>8.2442468639831734E-4</v>
      </c>
      <c r="D107" s="6">
        <f t="shared" si="17"/>
        <v>0.70588235294117652</v>
      </c>
      <c r="E107" s="6">
        <f t="shared" si="26"/>
        <v>0.375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282.99000000000012</v>
      </c>
      <c r="L107">
        <f t="shared" si="32"/>
        <v>46.889597999999637</v>
      </c>
      <c r="M107">
        <f t="shared" si="25"/>
        <v>0.37527472890920205</v>
      </c>
      <c r="N107">
        <f t="shared" si="27"/>
        <v>135.49211235590346</v>
      </c>
      <c r="O107">
        <f t="shared" si="28"/>
        <v>106.19899553401514</v>
      </c>
      <c r="P107">
        <f t="shared" si="29"/>
        <v>29.293116821888312</v>
      </c>
      <c r="Q107">
        <f t="shared" si="30"/>
        <v>135.49211235590346</v>
      </c>
      <c r="R107" s="4"/>
    </row>
    <row r="108" spans="2:18" x14ac:dyDescent="0.3">
      <c r="B108">
        <f t="shared" si="31"/>
        <v>0.94000000000000061</v>
      </c>
      <c r="C108">
        <f t="shared" si="19"/>
        <v>6.7508273063277002E-4</v>
      </c>
      <c r="D108" s="6">
        <f t="shared" si="17"/>
        <v>0.70588235294117652</v>
      </c>
      <c r="E108" s="6">
        <f t="shared" si="26"/>
        <v>0.375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284.86000000000013</v>
      </c>
      <c r="L108">
        <f t="shared" si="32"/>
        <v>40.350207999999583</v>
      </c>
      <c r="M108">
        <f t="shared" si="25"/>
        <v>0.37522488497411177</v>
      </c>
      <c r="N108">
        <f t="shared" si="27"/>
        <v>132.09636657824379</v>
      </c>
      <c r="O108">
        <f t="shared" si="28"/>
        <v>106.88656073372553</v>
      </c>
      <c r="P108">
        <f t="shared" si="29"/>
        <v>25.209805844518254</v>
      </c>
      <c r="Q108">
        <f t="shared" si="30"/>
        <v>132.09636657824379</v>
      </c>
      <c r="R108" s="4"/>
    </row>
    <row r="109" spans="2:18" x14ac:dyDescent="0.3">
      <c r="B109">
        <f t="shared" si="31"/>
        <v>0.95000000000000062</v>
      </c>
      <c r="C109">
        <f t="shared" si="19"/>
        <v>5.5277863692360096E-4</v>
      </c>
      <c r="D109" s="6">
        <f t="shared" si="17"/>
        <v>0.70588235294117652</v>
      </c>
      <c r="E109" s="6">
        <f t="shared" si="26"/>
        <v>0.375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286.75000000000011</v>
      </c>
      <c r="L109">
        <f t="shared" si="32"/>
        <v>33.598749999999569</v>
      </c>
      <c r="M109">
        <f t="shared" si="25"/>
        <v>0.37518408230508649</v>
      </c>
      <c r="N109">
        <f t="shared" si="27"/>
        <v>128.57706941563529</v>
      </c>
      <c r="O109">
        <f t="shared" si="28"/>
        <v>107.5840356009836</v>
      </c>
      <c r="P109">
        <f t="shared" si="29"/>
        <v>20.993033814651707</v>
      </c>
      <c r="Q109">
        <f t="shared" si="30"/>
        <v>128.57706941563529</v>
      </c>
      <c r="R109" s="4"/>
    </row>
    <row r="110" spans="2:18" x14ac:dyDescent="0.3">
      <c r="B110">
        <f t="shared" si="31"/>
        <v>0.96000000000000063</v>
      </c>
      <c r="C110">
        <f t="shared" si="19"/>
        <v>4.5262222324049528E-4</v>
      </c>
      <c r="D110" s="6">
        <f t="shared" si="17"/>
        <v>0.70588235294117652</v>
      </c>
      <c r="E110" s="6">
        <f t="shared" si="26"/>
        <v>0.375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288.66000000000014</v>
      </c>
      <c r="L110">
        <f t="shared" si="32"/>
        <v>26.630687999999566</v>
      </c>
      <c r="M110">
        <f t="shared" si="25"/>
        <v>0.37515068185354178</v>
      </c>
      <c r="N110">
        <f t="shared" si="27"/>
        <v>124.93116306241421</v>
      </c>
      <c r="O110">
        <f t="shared" si="28"/>
        <v>108.29099582384342</v>
      </c>
      <c r="P110">
        <f t="shared" si="29"/>
        <v>16.640167238570797</v>
      </c>
      <c r="Q110">
        <f t="shared" si="30"/>
        <v>124.93116306241421</v>
      </c>
      <c r="R110" s="4"/>
    </row>
    <row r="111" spans="2:18" x14ac:dyDescent="0.3">
      <c r="B111">
        <f t="shared" si="31"/>
        <v>0.97000000000000064</v>
      </c>
      <c r="C111">
        <f t="shared" si="19"/>
        <v>3.7060614062645048E-4</v>
      </c>
      <c r="D111" s="6">
        <f t="shared" si="17"/>
        <v>0.70588235294117652</v>
      </c>
      <c r="E111" s="6">
        <f t="shared" si="26"/>
        <v>0.375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290.59000000000015</v>
      </c>
      <c r="L111">
        <f t="shared" si="32"/>
        <v>19.441437999999494</v>
      </c>
      <c r="M111">
        <f t="shared" si="25"/>
        <v>0.3751233413155331</v>
      </c>
      <c r="N111">
        <f t="shared" si="27"/>
        <v>121.15559257034172</v>
      </c>
      <c r="O111">
        <f t="shared" si="28"/>
        <v>109.00709175288081</v>
      </c>
      <c r="P111">
        <f t="shared" si="29"/>
        <v>12.14850081746091</v>
      </c>
      <c r="Q111">
        <f t="shared" si="30"/>
        <v>121.15559257034172</v>
      </c>
      <c r="R111" s="4"/>
    </row>
    <row r="112" spans="2:18" x14ac:dyDescent="0.3">
      <c r="B112">
        <f t="shared" si="31"/>
        <v>0.98000000000000065</v>
      </c>
      <c r="C112">
        <f t="shared" si="19"/>
        <v>3.03447030028825E-4</v>
      </c>
      <c r="D112" s="6">
        <f t="shared" si="17"/>
        <v>0.70588235294117652</v>
      </c>
      <c r="E112" s="6">
        <f t="shared" si="26"/>
        <v>0.375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292.54000000000013</v>
      </c>
      <c r="L112">
        <f t="shared" si="32"/>
        <v>12.026367999999508</v>
      </c>
      <c r="M112">
        <f t="shared" si="25"/>
        <v>0.37510096155236816</v>
      </c>
      <c r="N112">
        <f t="shared" si="27"/>
        <v>117.24730109174689</v>
      </c>
      <c r="O112">
        <f t="shared" si="28"/>
        <v>109.73203529252983</v>
      </c>
      <c r="P112">
        <f t="shared" si="29"/>
        <v>7.5152657992170617</v>
      </c>
      <c r="Q112">
        <f t="shared" si="30"/>
        <v>117.24730109174689</v>
      </c>
      <c r="R112" s="4"/>
    </row>
    <row r="113" spans="2:18" x14ac:dyDescent="0.3">
      <c r="B113">
        <f t="shared" si="31"/>
        <v>0.99000000000000066</v>
      </c>
      <c r="C113">
        <f t="shared" si="19"/>
        <v>2.4845508183946041E-4</v>
      </c>
      <c r="D113" s="6">
        <f t="shared" si="17"/>
        <v>0.70588235294117652</v>
      </c>
      <c r="E113" s="6">
        <f t="shared" si="26"/>
        <v>0.375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294.5100000000001</v>
      </c>
      <c r="L113">
        <f t="shared" si="32"/>
        <v>4.380797999999487</v>
      </c>
      <c r="M113">
        <f t="shared" si="25"/>
        <v>0.37508264263375279</v>
      </c>
      <c r="N113">
        <f t="shared" si="27"/>
        <v>113.2032257913816</v>
      </c>
      <c r="O113">
        <f t="shared" si="28"/>
        <v>110.46558908206657</v>
      </c>
      <c r="P113">
        <f t="shared" si="29"/>
        <v>2.7376367093150207</v>
      </c>
      <c r="Q113">
        <f t="shared" si="30"/>
        <v>113.2032257913816</v>
      </c>
      <c r="R113" s="4"/>
    </row>
    <row r="114" spans="2:18" x14ac:dyDescent="0.3">
      <c r="B114">
        <f t="shared" si="31"/>
        <v>1.0000000000000007</v>
      </c>
      <c r="C114">
        <f t="shared" si="19"/>
        <v>2.0342697805519894E-4</v>
      </c>
      <c r="D114" s="6">
        <f t="shared" si="17"/>
        <v>0.70588235294117652</v>
      </c>
      <c r="E114" s="6">
        <f t="shared" si="26"/>
        <v>0.375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296.50000000000011</v>
      </c>
      <c r="L114">
        <f t="shared" si="32"/>
        <v>-3.50000000000054</v>
      </c>
      <c r="M114">
        <f t="shared" si="25"/>
        <v>0.37506764779320589</v>
      </c>
      <c r="N114">
        <f t="shared" si="27"/>
        <v>109.02029433796147</v>
      </c>
      <c r="O114">
        <f t="shared" si="28"/>
        <v>111.20755757068559</v>
      </c>
      <c r="P114">
        <f t="shared" si="29"/>
        <v>-2.187263232724117</v>
      </c>
      <c r="Q114">
        <f t="shared" si="30"/>
        <v>109.02029433796147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227-D6F1-46F4-9FFA-B7A3B3532F47}">
  <dimension ref="B1:R1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5</v>
      </c>
      <c r="C4" s="12">
        <v>50</v>
      </c>
      <c r="D4" s="12">
        <v>5</v>
      </c>
      <c r="E4" s="12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14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5</v>
      </c>
      <c r="C10" s="5">
        <f t="shared" ref="C10:E10" si="0">C4+C7</f>
        <v>50</v>
      </c>
      <c r="D10" s="5">
        <f t="shared" si="0"/>
        <v>19</v>
      </c>
      <c r="E10" s="5">
        <f t="shared" si="0"/>
        <v>30</v>
      </c>
      <c r="G10" s="10">
        <f>F7-0.25*D7-E7</f>
        <v>196.5</v>
      </c>
      <c r="K10" s="1">
        <v>1</v>
      </c>
      <c r="M10" s="1">
        <v>0.5</v>
      </c>
      <c r="N10" s="1">
        <v>0.65</v>
      </c>
      <c r="Q10" s="2" t="s">
        <v>22</v>
      </c>
      <c r="R10" s="9">
        <f>MAX(Q14:Q114)</f>
        <v>211.3070341698687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0.99998987000901918</v>
      </c>
      <c r="D14" s="6">
        <f t="shared" ref="D14:D77" si="1">$D$10/($D$10+$B$10)</f>
        <v>0.79166666666666663</v>
      </c>
      <c r="E14" s="6">
        <f>$E$10/($E$10+$C$10)</f>
        <v>0.375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196.5</v>
      </c>
      <c r="L14">
        <f>$G$10+I14</f>
        <v>196.5</v>
      </c>
      <c r="M14">
        <f>C14*D14^(1-EXP(-5*B14))+(1-C14)*E14</f>
        <v>0.999993668755637</v>
      </c>
      <c r="N14" s="3">
        <f>M14*K14+(1-M14)*L14</f>
        <v>196.5</v>
      </c>
      <c r="O14">
        <f>K14*M14</f>
        <v>196.49875591048266</v>
      </c>
      <c r="P14">
        <f>(1-M14)*L14</f>
        <v>1.2440895173295718E-3</v>
      </c>
      <c r="Q14">
        <f>P14+O14</f>
        <v>196.5</v>
      </c>
    </row>
    <row r="15" spans="2:18" x14ac:dyDescent="0.3">
      <c r="B15">
        <v>0.01</v>
      </c>
      <c r="C15">
        <f t="shared" ref="C15:C78" si="3">1-1/(1+EXP(-20*(B15-(($N$10+$M$10)/2))))</f>
        <v>0.99998762722882562</v>
      </c>
      <c r="D15" s="6">
        <f>$D$10/($D$10+$B$10)</f>
        <v>0.79166666666666663</v>
      </c>
      <c r="E15" s="6">
        <f>$E$10/($E$10+$C$10)</f>
        <v>0.375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196.51</v>
      </c>
      <c r="L15">
        <f>$G$10+I15</f>
        <v>196.49999800000001</v>
      </c>
      <c r="M15">
        <f t="shared" ref="M15:M78" si="8">C15*D15^(1-EXP(-5*B15))+(1-C15)*E15</f>
        <v>0.98866353691823905</v>
      </c>
      <c r="N15">
        <f>M15*K15+(1-M15)*L15</f>
        <v>196.50988661269625</v>
      </c>
      <c r="O15">
        <f>K15*M15</f>
        <v>194.28227163980316</v>
      </c>
      <c r="P15">
        <f>(1-M15)*L15</f>
        <v>2.2276149728931007</v>
      </c>
      <c r="Q15">
        <f>P15+O15</f>
        <v>196.50988661269625</v>
      </c>
      <c r="R15" s="4"/>
    </row>
    <row r="16" spans="2:18" x14ac:dyDescent="0.3">
      <c r="B16">
        <f>B15+0.01</f>
        <v>0.02</v>
      </c>
      <c r="C16">
        <f t="shared" si="3"/>
        <v>0.99998488790455897</v>
      </c>
      <c r="D16" s="6">
        <f t="shared" si="1"/>
        <v>0.79166666666666663</v>
      </c>
      <c r="E16" s="6">
        <f t="shared" ref="E16:E79" si="9">$E$10/($E$10+$C$10)</f>
        <v>0.375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196.54</v>
      </c>
      <c r="L16">
        <f t="shared" ref="L16:L79" si="10">$G$10+I16</f>
        <v>196.499968</v>
      </c>
      <c r="M16">
        <f t="shared" si="8"/>
        <v>0.97800479105538496</v>
      </c>
      <c r="N16">
        <f t="shared" ref="N16:N79" si="11">M16*K16+(1-M16)*L16</f>
        <v>196.53911948779552</v>
      </c>
      <c r="O16">
        <f t="shared" ref="O16:O79" si="12">K16*M16</f>
        <v>192.21706163402536</v>
      </c>
      <c r="P16">
        <f t="shared" ref="P16:P79" si="13">(1-M16)*L16</f>
        <v>4.3220578537701693</v>
      </c>
      <c r="Q16">
        <f t="shared" ref="Q16:Q79" si="14">P16+O16</f>
        <v>196.53911948779552</v>
      </c>
      <c r="R16" s="4"/>
    </row>
    <row r="17" spans="2:18" x14ac:dyDescent="0.3">
      <c r="B17">
        <f t="shared" ref="B17:B80" si="15">B16+0.01</f>
        <v>0.03</v>
      </c>
      <c r="C17">
        <f t="shared" si="3"/>
        <v>0.99998154210670431</v>
      </c>
      <c r="D17" s="6">
        <f t="shared" si="1"/>
        <v>0.79166666666666663</v>
      </c>
      <c r="E17" s="6">
        <f t="shared" si="9"/>
        <v>0.375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196.59</v>
      </c>
      <c r="L17">
        <f t="shared" si="10"/>
        <v>196.49983800000001</v>
      </c>
      <c r="M17">
        <f t="shared" si="8"/>
        <v>0.96797212107416752</v>
      </c>
      <c r="N17">
        <f t="shared" si="11"/>
        <v>196.58711230238029</v>
      </c>
      <c r="O17">
        <f t="shared" si="12"/>
        <v>190.2936392819706</v>
      </c>
      <c r="P17">
        <f t="shared" si="13"/>
        <v>6.2934730204096958</v>
      </c>
      <c r="Q17">
        <f t="shared" si="14"/>
        <v>196.58711230238029</v>
      </c>
      <c r="R17" s="4"/>
    </row>
    <row r="18" spans="2:18" x14ac:dyDescent="0.3">
      <c r="B18">
        <f t="shared" si="15"/>
        <v>0.04</v>
      </c>
      <c r="C18">
        <f t="shared" si="3"/>
        <v>0.99997745557034956</v>
      </c>
      <c r="D18" s="6">
        <f t="shared" si="1"/>
        <v>0.79166666666666663</v>
      </c>
      <c r="E18" s="6">
        <f t="shared" si="9"/>
        <v>0.375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196.66</v>
      </c>
      <c r="L18">
        <f t="shared" si="10"/>
        <v>196.49948800000001</v>
      </c>
      <c r="M18">
        <f t="shared" si="8"/>
        <v>0.95852377463047322</v>
      </c>
      <c r="N18">
        <f t="shared" si="11"/>
        <v>196.65334256811349</v>
      </c>
      <c r="O18">
        <f t="shared" si="12"/>
        <v>188.50328551882887</v>
      </c>
      <c r="P18">
        <f t="shared" si="13"/>
        <v>8.1500570492846229</v>
      </c>
      <c r="Q18">
        <f t="shared" si="14"/>
        <v>196.65334256811349</v>
      </c>
      <c r="R18" s="4"/>
    </row>
    <row r="19" spans="2:18" x14ac:dyDescent="0.3">
      <c r="B19">
        <f t="shared" si="15"/>
        <v>0.05</v>
      </c>
      <c r="C19">
        <f t="shared" si="3"/>
        <v>0.99997246430888542</v>
      </c>
      <c r="D19" s="6">
        <f t="shared" si="1"/>
        <v>0.79166666666666663</v>
      </c>
      <c r="E19" s="6">
        <f t="shared" si="9"/>
        <v>0.375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196.75</v>
      </c>
      <c r="L19">
        <f t="shared" si="10"/>
        <v>196.49875</v>
      </c>
      <c r="M19">
        <f t="shared" si="8"/>
        <v>0.9496212249543261</v>
      </c>
      <c r="N19">
        <f t="shared" si="11"/>
        <v>196.73734233276977</v>
      </c>
      <c r="O19">
        <f t="shared" si="12"/>
        <v>186.83797600976365</v>
      </c>
      <c r="P19">
        <f t="shared" si="13"/>
        <v>9.8993663230061131</v>
      </c>
      <c r="Q19">
        <f t="shared" si="14"/>
        <v>196.73734233276977</v>
      </c>
      <c r="R19" s="4"/>
    </row>
    <row r="20" spans="2:18" x14ac:dyDescent="0.3">
      <c r="B20">
        <f t="shared" si="15"/>
        <v>6.0000000000000005E-2</v>
      </c>
      <c r="C20">
        <f t="shared" si="3"/>
        <v>0.99996636803596128</v>
      </c>
      <c r="D20" s="6">
        <f t="shared" si="1"/>
        <v>0.79166666666666663</v>
      </c>
      <c r="E20" s="6">
        <f t="shared" si="9"/>
        <v>0.375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196.86</v>
      </c>
      <c r="L20">
        <f t="shared" si="10"/>
        <v>196.49740800000001</v>
      </c>
      <c r="M20">
        <f t="shared" si="8"/>
        <v>0.94122887304636738</v>
      </c>
      <c r="N20">
        <f t="shared" si="11"/>
        <v>196.83869005953562</v>
      </c>
      <c r="O20">
        <f t="shared" si="12"/>
        <v>185.29031594790789</v>
      </c>
      <c r="P20">
        <f t="shared" si="13"/>
        <v>11.548374111627748</v>
      </c>
      <c r="Q20">
        <f t="shared" si="14"/>
        <v>196.83869005953562</v>
      </c>
      <c r="R20" s="4"/>
    </row>
    <row r="21" spans="2:18" x14ac:dyDescent="0.3">
      <c r="B21">
        <f t="shared" si="15"/>
        <v>7.0000000000000007E-2</v>
      </c>
      <c r="C21">
        <f t="shared" si="3"/>
        <v>0.99995892213223525</v>
      </c>
      <c r="D21" s="6">
        <f t="shared" si="1"/>
        <v>0.79166666666666663</v>
      </c>
      <c r="E21" s="6">
        <f t="shared" si="9"/>
        <v>0.375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196.99</v>
      </c>
      <c r="L21">
        <f t="shared" si="10"/>
        <v>196.49519799999999</v>
      </c>
      <c r="M21">
        <f t="shared" si="8"/>
        <v>0.9333137800045338</v>
      </c>
      <c r="N21">
        <f t="shared" si="11"/>
        <v>196.9570035249738</v>
      </c>
      <c r="O21">
        <f t="shared" si="12"/>
        <v>183.85348152309311</v>
      </c>
      <c r="P21">
        <f t="shared" si="13"/>
        <v>13.103522001880689</v>
      </c>
      <c r="Q21">
        <f t="shared" si="14"/>
        <v>196.9570035249738</v>
      </c>
      <c r="R21" s="4"/>
    </row>
    <row r="22" spans="2:18" x14ac:dyDescent="0.3">
      <c r="B22">
        <f t="shared" si="15"/>
        <v>0.08</v>
      </c>
      <c r="C22">
        <f t="shared" si="3"/>
        <v>0.99994982783531627</v>
      </c>
      <c r="D22" s="6">
        <f t="shared" si="1"/>
        <v>0.79166666666666663</v>
      </c>
      <c r="E22" s="6">
        <f t="shared" si="9"/>
        <v>0.375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197.14</v>
      </c>
      <c r="L22">
        <f t="shared" si="10"/>
        <v>196.49180799999999</v>
      </c>
      <c r="M22">
        <f t="shared" si="8"/>
        <v>0.92584542574937312</v>
      </c>
      <c r="N22">
        <f t="shared" si="11"/>
        <v>197.09193359820731</v>
      </c>
      <c r="O22">
        <f t="shared" si="12"/>
        <v>182.52116723223139</v>
      </c>
      <c r="P22">
        <f t="shared" si="13"/>
        <v>14.570766365975921</v>
      </c>
      <c r="Q22">
        <f t="shared" si="14"/>
        <v>197.09193359820731</v>
      </c>
      <c r="R22" s="4"/>
    </row>
    <row r="23" spans="2:18" x14ac:dyDescent="0.3">
      <c r="B23">
        <f t="shared" si="15"/>
        <v>0.09</v>
      </c>
      <c r="C23">
        <f t="shared" si="3"/>
        <v>0.99993872026038344</v>
      </c>
      <c r="D23" s="6">
        <f t="shared" si="1"/>
        <v>0.79166666666666663</v>
      </c>
      <c r="E23" s="6">
        <f t="shared" si="9"/>
        <v>0.375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197.31</v>
      </c>
      <c r="L23">
        <f t="shared" si="10"/>
        <v>196.48687799999999</v>
      </c>
      <c r="M23">
        <f t="shared" si="8"/>
        <v>0.91879549084539569</v>
      </c>
      <c r="N23">
        <f t="shared" si="11"/>
        <v>197.24315878201563</v>
      </c>
      <c r="O23">
        <f t="shared" si="12"/>
        <v>181.28753829870502</v>
      </c>
      <c r="P23">
        <f t="shared" si="13"/>
        <v>15.95562048331062</v>
      </c>
      <c r="Q23">
        <f t="shared" si="14"/>
        <v>197.24315878201563</v>
      </c>
      <c r="R23" s="4"/>
    </row>
    <row r="24" spans="2:18" x14ac:dyDescent="0.3">
      <c r="B24">
        <f t="shared" si="15"/>
        <v>9.9999999999999992E-2</v>
      </c>
      <c r="C24">
        <f t="shared" si="3"/>
        <v>0.99992515377248936</v>
      </c>
      <c r="D24" s="6">
        <f t="shared" si="1"/>
        <v>0.79166666666666663</v>
      </c>
      <c r="E24" s="6">
        <f t="shared" si="9"/>
        <v>0.375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197.5</v>
      </c>
      <c r="L24">
        <f t="shared" si="10"/>
        <v>196.48</v>
      </c>
      <c r="M24">
        <f t="shared" si="8"/>
        <v>0.91213765847449213</v>
      </c>
      <c r="N24">
        <f t="shared" si="11"/>
        <v>197.41038041164398</v>
      </c>
      <c r="O24">
        <f t="shared" si="12"/>
        <v>180.1471875487122</v>
      </c>
      <c r="P24">
        <f t="shared" si="13"/>
        <v>17.263192862931785</v>
      </c>
      <c r="Q24">
        <f t="shared" si="14"/>
        <v>197.41038041164398</v>
      </c>
      <c r="R24" s="4"/>
    </row>
    <row r="25" spans="2:18" x14ac:dyDescent="0.3">
      <c r="B25">
        <f t="shared" si="15"/>
        <v>0.10999999999999999</v>
      </c>
      <c r="C25">
        <f t="shared" si="3"/>
        <v>0.9999085841261478</v>
      </c>
      <c r="D25" s="6">
        <f t="shared" si="1"/>
        <v>0.79166666666666663</v>
      </c>
      <c r="E25" s="6">
        <f t="shared" si="9"/>
        <v>0.375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197.71</v>
      </c>
      <c r="L25">
        <f t="shared" si="10"/>
        <v>196.47071800000001</v>
      </c>
      <c r="M25">
        <f t="shared" si="8"/>
        <v>0.90584743391384337</v>
      </c>
      <c r="N25">
        <f t="shared" si="11"/>
        <v>197.59331841959565</v>
      </c>
      <c r="O25">
        <f t="shared" si="12"/>
        <v>179.09509615910599</v>
      </c>
      <c r="P25">
        <f t="shared" si="13"/>
        <v>18.498222260489644</v>
      </c>
      <c r="Q25">
        <f t="shared" si="14"/>
        <v>197.59331841959565</v>
      </c>
      <c r="R25" s="4"/>
    </row>
    <row r="26" spans="2:18" x14ac:dyDescent="0.3">
      <c r="B26">
        <f t="shared" si="15"/>
        <v>0.11999999999999998</v>
      </c>
      <c r="C26">
        <f t="shared" si="3"/>
        <v>0.99988834665937043</v>
      </c>
      <c r="D26" s="6">
        <f t="shared" si="1"/>
        <v>0.79166666666666663</v>
      </c>
      <c r="E26" s="6">
        <f t="shared" si="9"/>
        <v>0.375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197.94</v>
      </c>
      <c r="L26">
        <f t="shared" si="10"/>
        <v>196.458528</v>
      </c>
      <c r="M26">
        <f t="shared" si="8"/>
        <v>0.89990197911108583</v>
      </c>
      <c r="N26">
        <f t="shared" si="11"/>
        <v>197.79170758479765</v>
      </c>
      <c r="O26">
        <f t="shared" si="12"/>
        <v>178.12659774524832</v>
      </c>
      <c r="P26">
        <f t="shared" si="13"/>
        <v>19.665109839549331</v>
      </c>
      <c r="Q26">
        <f t="shared" si="14"/>
        <v>197.79170758479765</v>
      </c>
      <c r="R26" s="4"/>
    </row>
    <row r="27" spans="2:18" x14ac:dyDescent="0.3">
      <c r="B27">
        <f t="shared" si="15"/>
        <v>0.12999999999999998</v>
      </c>
      <c r="C27">
        <f t="shared" si="3"/>
        <v>0.99986362967292053</v>
      </c>
      <c r="D27" s="6">
        <f t="shared" si="1"/>
        <v>0.79166666666666663</v>
      </c>
      <c r="E27" s="6">
        <f t="shared" si="9"/>
        <v>0.375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198.19</v>
      </c>
      <c r="L27">
        <f t="shared" si="10"/>
        <v>196.44287800000001</v>
      </c>
      <c r="M27">
        <f t="shared" si="8"/>
        <v>0.89427996013846578</v>
      </c>
      <c r="N27">
        <f t="shared" si="11"/>
        <v>198.00529419251703</v>
      </c>
      <c r="O27">
        <f t="shared" si="12"/>
        <v>177.23734529984253</v>
      </c>
      <c r="P27">
        <f t="shared" si="13"/>
        <v>20.767948892674504</v>
      </c>
      <c r="Q27">
        <f t="shared" si="14"/>
        <v>198.00529419251703</v>
      </c>
      <c r="R27" s="4"/>
    </row>
    <row r="28" spans="2:18" x14ac:dyDescent="0.3">
      <c r="B28">
        <f t="shared" si="15"/>
        <v>0.13999999999999999</v>
      </c>
      <c r="C28">
        <f t="shared" si="3"/>
        <v>0.99983344193522261</v>
      </c>
      <c r="D28" s="6">
        <f t="shared" si="1"/>
        <v>0.79166666666666663</v>
      </c>
      <c r="E28" s="6">
        <f t="shared" si="9"/>
        <v>0.375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198.46</v>
      </c>
      <c r="L28">
        <f t="shared" si="10"/>
        <v>196.423168</v>
      </c>
      <c r="M28">
        <f t="shared" si="8"/>
        <v>0.88896140544844848</v>
      </c>
      <c r="N28">
        <f t="shared" si="11"/>
        <v>198.2338330373824</v>
      </c>
      <c r="O28">
        <f t="shared" si="12"/>
        <v>176.42328052529911</v>
      </c>
      <c r="P28">
        <f t="shared" si="13"/>
        <v>21.810552512083287</v>
      </c>
      <c r="Q28">
        <f t="shared" si="14"/>
        <v>198.2338330373824</v>
      </c>
      <c r="R28" s="4"/>
    </row>
    <row r="29" spans="2:18" x14ac:dyDescent="0.3">
      <c r="B29">
        <f t="shared" si="15"/>
        <v>0.15</v>
      </c>
      <c r="C29">
        <f t="shared" si="3"/>
        <v>0.9997965730219448</v>
      </c>
      <c r="D29" s="6">
        <f t="shared" si="1"/>
        <v>0.79166666666666663</v>
      </c>
      <c r="E29" s="6">
        <f t="shared" si="9"/>
        <v>0.375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198.75</v>
      </c>
      <c r="L29">
        <f t="shared" si="10"/>
        <v>196.39875000000001</v>
      </c>
      <c r="M29">
        <f t="shared" si="8"/>
        <v>0.8839275729475462</v>
      </c>
      <c r="N29">
        <f t="shared" si="11"/>
        <v>198.47708470589291</v>
      </c>
      <c r="O29">
        <f t="shared" si="12"/>
        <v>175.6806051233248</v>
      </c>
      <c r="P29">
        <f t="shared" si="13"/>
        <v>22.796479582568111</v>
      </c>
      <c r="Q29">
        <f t="shared" si="14"/>
        <v>198.47708470589291</v>
      </c>
      <c r="R29" s="4"/>
    </row>
    <row r="30" spans="2:18" x14ac:dyDescent="0.3">
      <c r="B30">
        <f t="shared" si="15"/>
        <v>0.16</v>
      </c>
      <c r="C30">
        <f t="shared" si="3"/>
        <v>0.99975154491816065</v>
      </c>
      <c r="D30" s="6">
        <f t="shared" si="1"/>
        <v>0.79166666666666663</v>
      </c>
      <c r="E30" s="6">
        <f t="shared" si="9"/>
        <v>0.375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199.06</v>
      </c>
      <c r="L30">
        <f t="shared" si="10"/>
        <v>196.36892800000001</v>
      </c>
      <c r="M30">
        <f t="shared" si="8"/>
        <v>0.87916082395346185</v>
      </c>
      <c r="N30">
        <f t="shared" si="11"/>
        <v>198.73481307683809</v>
      </c>
      <c r="O30">
        <f t="shared" si="12"/>
        <v>175.00575361617612</v>
      </c>
      <c r="P30">
        <f t="shared" si="13"/>
        <v>23.729059460661976</v>
      </c>
      <c r="Q30">
        <f t="shared" si="14"/>
        <v>198.73481307683809</v>
      </c>
      <c r="R30" s="4"/>
    </row>
    <row r="31" spans="2:18" x14ac:dyDescent="0.3">
      <c r="B31">
        <f t="shared" si="15"/>
        <v>0.17</v>
      </c>
      <c r="C31">
        <f t="shared" si="3"/>
        <v>0.99969655296997106</v>
      </c>
      <c r="D31" s="6">
        <f t="shared" si="1"/>
        <v>0.79166666666666663</v>
      </c>
      <c r="E31" s="6">
        <f t="shared" si="9"/>
        <v>0.375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199.39</v>
      </c>
      <c r="L31">
        <f t="shared" si="10"/>
        <v>196.33295799999999</v>
      </c>
      <c r="M31">
        <f t="shared" si="8"/>
        <v>0.87464450210218125</v>
      </c>
      <c r="N31">
        <f t="shared" si="11"/>
        <v>199.00678297799544</v>
      </c>
      <c r="O31">
        <f t="shared" si="12"/>
        <v>174.3953672741539</v>
      </c>
      <c r="P31">
        <f t="shared" si="13"/>
        <v>24.611415703841534</v>
      </c>
      <c r="Q31">
        <f t="shared" si="14"/>
        <v>199.00678297799544</v>
      </c>
      <c r="R31" s="4"/>
    </row>
    <row r="32" spans="2:18" x14ac:dyDescent="0.3">
      <c r="B32">
        <f t="shared" si="15"/>
        <v>0.18000000000000002</v>
      </c>
      <c r="C32">
        <f t="shared" si="3"/>
        <v>0.99962939385937355</v>
      </c>
      <c r="D32" s="6">
        <f t="shared" si="1"/>
        <v>0.79166666666666663</v>
      </c>
      <c r="E32" s="6">
        <f t="shared" si="9"/>
        <v>0.375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199.74</v>
      </c>
      <c r="L32">
        <f t="shared" si="10"/>
        <v>196.29004800000001</v>
      </c>
      <c r="M32">
        <f t="shared" si="8"/>
        <v>0.87036281522425507</v>
      </c>
      <c r="N32">
        <f t="shared" si="11"/>
        <v>199.29275793510854</v>
      </c>
      <c r="O32">
        <f t="shared" si="12"/>
        <v>173.84626871289271</v>
      </c>
      <c r="P32">
        <f t="shared" si="13"/>
        <v>25.446489222215842</v>
      </c>
      <c r="Q32">
        <f t="shared" si="14"/>
        <v>199.29275793510854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0.9995473777767595</v>
      </c>
      <c r="D33" s="6">
        <f t="shared" si="1"/>
        <v>0.79166666666666663</v>
      </c>
      <c r="E33" s="6">
        <f t="shared" si="9"/>
        <v>0.375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200.11</v>
      </c>
      <c r="L33">
        <f t="shared" si="10"/>
        <v>196.23935800000001</v>
      </c>
      <c r="M33">
        <f t="shared" si="8"/>
        <v>0.86630071810976228</v>
      </c>
      <c r="N33">
        <f t="shared" si="11"/>
        <v>199.59249794414583</v>
      </c>
      <c r="O33">
        <f t="shared" si="12"/>
        <v>173.35543670094455</v>
      </c>
      <c r="P33">
        <f t="shared" si="13"/>
        <v>26.237061243201278</v>
      </c>
      <c r="Q33">
        <f t="shared" si="14"/>
        <v>199.59249794414583</v>
      </c>
      <c r="R33" s="4"/>
    </row>
    <row r="34" spans="2:18" x14ac:dyDescent="0.3">
      <c r="B34">
        <f t="shared" si="15"/>
        <v>0.20000000000000004</v>
      </c>
      <c r="C34">
        <f t="shared" si="3"/>
        <v>0.9994472213630764</v>
      </c>
      <c r="D34" s="6">
        <f t="shared" si="1"/>
        <v>0.79166666666666663</v>
      </c>
      <c r="E34" s="6">
        <f t="shared" si="9"/>
        <v>0.375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200.5</v>
      </c>
      <c r="L34">
        <f t="shared" si="10"/>
        <v>196.18</v>
      </c>
      <c r="M34">
        <f t="shared" si="8"/>
        <v>0.86244379392455051</v>
      </c>
      <c r="N34">
        <f t="shared" si="11"/>
        <v>199.90575718975407</v>
      </c>
      <c r="O34">
        <f t="shared" si="12"/>
        <v>172.91998068187237</v>
      </c>
      <c r="P34">
        <f t="shared" si="13"/>
        <v>26.985776507881681</v>
      </c>
      <c r="Q34">
        <f t="shared" si="14"/>
        <v>199.90575718975407</v>
      </c>
      <c r="R34" s="4"/>
    </row>
    <row r="35" spans="2:18" x14ac:dyDescent="0.3">
      <c r="B35">
        <f t="shared" si="15"/>
        <v>0.21000000000000005</v>
      </c>
      <c r="C35">
        <f t="shared" si="3"/>
        <v>0.99932491726936712</v>
      </c>
      <c r="D35" s="6">
        <f t="shared" si="1"/>
        <v>0.79166666666666663</v>
      </c>
      <c r="E35" s="6">
        <f t="shared" si="9"/>
        <v>0.375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200.91</v>
      </c>
      <c r="L35">
        <f t="shared" si="10"/>
        <v>196.11103800000001</v>
      </c>
      <c r="M35">
        <f t="shared" si="8"/>
        <v>0.8587781318202713</v>
      </c>
      <c r="N35">
        <f t="shared" si="11"/>
        <v>200.23228162103646</v>
      </c>
      <c r="O35">
        <f t="shared" si="12"/>
        <v>172.5371144640107</v>
      </c>
      <c r="P35">
        <f t="shared" si="13"/>
        <v>27.695167157025768</v>
      </c>
      <c r="Q35">
        <f t="shared" si="14"/>
        <v>200.23228162103646</v>
      </c>
      <c r="R35" s="4"/>
    </row>
    <row r="36" spans="2:18" x14ac:dyDescent="0.3">
      <c r="B36">
        <f t="shared" si="15"/>
        <v>0.22000000000000006</v>
      </c>
      <c r="C36">
        <f t="shared" si="3"/>
        <v>0.99917557531360168</v>
      </c>
      <c r="D36" s="6">
        <f t="shared" si="1"/>
        <v>0.79166666666666663</v>
      </c>
      <c r="E36" s="6">
        <f t="shared" si="9"/>
        <v>0.375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201.34</v>
      </c>
      <c r="L36">
        <f t="shared" si="10"/>
        <v>196.031488</v>
      </c>
      <c r="M36">
        <f t="shared" si="8"/>
        <v>0.85529019799012396</v>
      </c>
      <c r="N36">
        <f t="shared" si="11"/>
        <v>200.57180627951294</v>
      </c>
      <c r="O36">
        <f t="shared" si="12"/>
        <v>172.20412846333156</v>
      </c>
      <c r="P36">
        <f t="shared" si="13"/>
        <v>28.367677816181391</v>
      </c>
      <c r="Q36">
        <f t="shared" si="14"/>
        <v>200.57180627951294</v>
      </c>
      <c r="R36" s="4"/>
    </row>
    <row r="37" spans="2:18" x14ac:dyDescent="0.3">
      <c r="B37">
        <f t="shared" si="15"/>
        <v>0.23000000000000007</v>
      </c>
      <c r="C37">
        <f t="shared" si="3"/>
        <v>0.9989932291799144</v>
      </c>
      <c r="D37" s="6">
        <f t="shared" si="1"/>
        <v>0.79166666666666663</v>
      </c>
      <c r="E37" s="6">
        <f t="shared" si="9"/>
        <v>0.375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201.79</v>
      </c>
      <c r="L37">
        <f t="shared" si="10"/>
        <v>195.94031799999999</v>
      </c>
      <c r="M37">
        <f t="shared" si="8"/>
        <v>0.85196669705281369</v>
      </c>
      <c r="N37">
        <f t="shared" si="11"/>
        <v>200.9240522523493</v>
      </c>
      <c r="O37">
        <f t="shared" si="12"/>
        <v>171.91835979828727</v>
      </c>
      <c r="P37">
        <f t="shared" si="13"/>
        <v>29.005692454062022</v>
      </c>
      <c r="Q37">
        <f t="shared" si="14"/>
        <v>200.9240522523493</v>
      </c>
      <c r="R37" s="4"/>
    </row>
    <row r="38" spans="2:18" x14ac:dyDescent="0.3">
      <c r="B38">
        <f t="shared" si="15"/>
        <v>0.24000000000000007</v>
      </c>
      <c r="C38">
        <f t="shared" si="3"/>
        <v>0.99877060137872253</v>
      </c>
      <c r="D38" s="6">
        <f t="shared" si="1"/>
        <v>0.79166666666666663</v>
      </c>
      <c r="E38" s="6">
        <f t="shared" si="9"/>
        <v>0.375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202.26</v>
      </c>
      <c r="L38">
        <f t="shared" si="10"/>
        <v>195.83644799999999</v>
      </c>
      <c r="M38">
        <f t="shared" si="8"/>
        <v>0.84879442019002671</v>
      </c>
      <c r="N38">
        <f t="shared" si="11"/>
        <v>201.28872309540048</v>
      </c>
      <c r="O38">
        <f t="shared" si="12"/>
        <v>171.67715942763479</v>
      </c>
      <c r="P38">
        <f t="shared" si="13"/>
        <v>29.611563667765683</v>
      </c>
      <c r="Q38">
        <f t="shared" si="14"/>
        <v>201.28872309540048</v>
      </c>
      <c r="R38" s="4"/>
    </row>
    <row r="39" spans="2:18" x14ac:dyDescent="0.3">
      <c r="B39">
        <f t="shared" si="15"/>
        <v>0.25000000000000006</v>
      </c>
      <c r="C39">
        <f t="shared" si="3"/>
        <v>0.99849881774326299</v>
      </c>
      <c r="D39" s="6">
        <f t="shared" si="1"/>
        <v>0.79166666666666663</v>
      </c>
      <c r="E39" s="6">
        <f t="shared" si="9"/>
        <v>0.375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202.75</v>
      </c>
      <c r="L39">
        <f t="shared" si="10"/>
        <v>195.71875</v>
      </c>
      <c r="M39">
        <f t="shared" si="8"/>
        <v>0.84576007590893332</v>
      </c>
      <c r="N39">
        <f t="shared" si="11"/>
        <v>201.6655005337347</v>
      </c>
      <c r="O39">
        <f t="shared" si="12"/>
        <v>171.47785539053623</v>
      </c>
      <c r="P39">
        <f t="shared" si="13"/>
        <v>30.187645143198456</v>
      </c>
      <c r="Q39">
        <f t="shared" si="14"/>
        <v>201.6655005337347</v>
      </c>
      <c r="R39" s="4"/>
    </row>
    <row r="40" spans="2:18" x14ac:dyDescent="0.3">
      <c r="B40">
        <f t="shared" si="15"/>
        <v>0.26000000000000006</v>
      </c>
      <c r="C40">
        <f t="shared" si="3"/>
        <v>0.99816706105750719</v>
      </c>
      <c r="D40" s="6">
        <f t="shared" si="1"/>
        <v>0.79166666666666663</v>
      </c>
      <c r="E40" s="6">
        <f t="shared" si="9"/>
        <v>0.375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203.26</v>
      </c>
      <c r="L40">
        <f t="shared" si="10"/>
        <v>195.58604800000001</v>
      </c>
      <c r="M40">
        <f t="shared" si="8"/>
        <v>0.84285009864334692</v>
      </c>
      <c r="N40">
        <f t="shared" si="11"/>
        <v>202.05403920018429</v>
      </c>
      <c r="O40">
        <f t="shared" si="12"/>
        <v>171.31771105024669</v>
      </c>
      <c r="P40">
        <f t="shared" si="13"/>
        <v>30.736328149937613</v>
      </c>
      <c r="Q40">
        <f t="shared" si="14"/>
        <v>202.05403920018429</v>
      </c>
      <c r="R40" s="4"/>
    </row>
    <row r="41" spans="2:18" x14ac:dyDescent="0.3">
      <c r="B41">
        <f t="shared" si="15"/>
        <v>0.27000000000000007</v>
      </c>
      <c r="C41">
        <f t="shared" si="3"/>
        <v>0.99776215147872371</v>
      </c>
      <c r="D41" s="6">
        <f t="shared" si="1"/>
        <v>0.79166666666666663</v>
      </c>
      <c r="E41" s="6">
        <f t="shared" si="9"/>
        <v>0.375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203.79</v>
      </c>
      <c r="L41">
        <f t="shared" si="10"/>
        <v>195.437118</v>
      </c>
      <c r="M41">
        <f t="shared" si="8"/>
        <v>0.84005042964120169</v>
      </c>
      <c r="N41">
        <f t="shared" si="11"/>
        <v>202.45396011284225</v>
      </c>
      <c r="O41">
        <f t="shared" si="12"/>
        <v>171.19387705658048</v>
      </c>
      <c r="P41">
        <f t="shared" si="13"/>
        <v>31.260083056261767</v>
      </c>
      <c r="Q41">
        <f t="shared" si="14"/>
        <v>202.45396011284225</v>
      </c>
      <c r="R41" s="4"/>
    </row>
    <row r="42" spans="2:18" x14ac:dyDescent="0.3">
      <c r="B42">
        <f t="shared" si="15"/>
        <v>0.28000000000000008</v>
      </c>
      <c r="C42">
        <f t="shared" si="3"/>
        <v>0.99726803923698892</v>
      </c>
      <c r="D42" s="6">
        <f t="shared" si="1"/>
        <v>0.79166666666666663</v>
      </c>
      <c r="E42" s="6">
        <f t="shared" si="9"/>
        <v>0.375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204.34</v>
      </c>
      <c r="L42">
        <f t="shared" si="10"/>
        <v>195.27068800000001</v>
      </c>
      <c r="M42">
        <f t="shared" si="8"/>
        <v>0.83734626371456622</v>
      </c>
      <c r="N42">
        <f t="shared" si="11"/>
        <v>202.86484251766169</v>
      </c>
      <c r="O42">
        <f t="shared" si="12"/>
        <v>171.10333552743447</v>
      </c>
      <c r="P42">
        <f t="shared" si="13"/>
        <v>31.761506990227218</v>
      </c>
      <c r="Q42">
        <f t="shared" si="14"/>
        <v>202.86484251766169</v>
      </c>
      <c r="R42" s="4"/>
    </row>
    <row r="43" spans="2:18" x14ac:dyDescent="0.3">
      <c r="B43">
        <f t="shared" si="15"/>
        <v>0.29000000000000009</v>
      </c>
      <c r="C43">
        <f t="shared" si="3"/>
        <v>0.99666519269258669</v>
      </c>
      <c r="D43" s="6">
        <f t="shared" si="1"/>
        <v>0.79166666666666663</v>
      </c>
      <c r="E43" s="6">
        <f t="shared" si="9"/>
        <v>0.375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204.91</v>
      </c>
      <c r="L43">
        <f t="shared" si="10"/>
        <v>195.08543800000001</v>
      </c>
      <c r="M43">
        <f t="shared" si="8"/>
        <v>0.83472175446590291</v>
      </c>
      <c r="N43">
        <f t="shared" si="11"/>
        <v>203.28621362949906</v>
      </c>
      <c r="O43">
        <f t="shared" si="12"/>
        <v>171.04283470760816</v>
      </c>
      <c r="P43">
        <f t="shared" si="13"/>
        <v>32.24337892189088</v>
      </c>
      <c r="Q43">
        <f t="shared" si="14"/>
        <v>203.28621362949906</v>
      </c>
      <c r="R43" s="4"/>
    </row>
    <row r="44" spans="2:18" x14ac:dyDescent="0.3">
      <c r="B44">
        <f t="shared" si="15"/>
        <v>0.3000000000000001</v>
      </c>
      <c r="C44">
        <f t="shared" si="3"/>
        <v>0.99592986228410385</v>
      </c>
      <c r="D44" s="6">
        <f t="shared" si="1"/>
        <v>0.79166666666666663</v>
      </c>
      <c r="E44" s="6">
        <f t="shared" si="9"/>
        <v>0.375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205.5</v>
      </c>
      <c r="L44">
        <f t="shared" si="10"/>
        <v>194.88</v>
      </c>
      <c r="M44">
        <f t="shared" si="8"/>
        <v>0.83215966958437626</v>
      </c>
      <c r="N44">
        <f t="shared" si="11"/>
        <v>203.7175356909861</v>
      </c>
      <c r="O44">
        <f t="shared" si="12"/>
        <v>171.00881209958933</v>
      </c>
      <c r="P44">
        <f t="shared" si="13"/>
        <v>32.708723591396755</v>
      </c>
      <c r="Q44">
        <f t="shared" si="14"/>
        <v>203.7175356909861</v>
      </c>
      <c r="R44" s="4"/>
    </row>
    <row r="45" spans="2:18" x14ac:dyDescent="0.3">
      <c r="B45">
        <f t="shared" si="15"/>
        <v>0.31000000000000011</v>
      </c>
      <c r="C45">
        <f t="shared" si="3"/>
        <v>0.99503319834994297</v>
      </c>
      <c r="D45" s="6">
        <f t="shared" si="1"/>
        <v>0.79166666666666663</v>
      </c>
      <c r="E45" s="6">
        <f t="shared" si="9"/>
        <v>0.375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206.11</v>
      </c>
      <c r="L45">
        <f t="shared" si="10"/>
        <v>194.65295799999998</v>
      </c>
      <c r="M45">
        <f t="shared" si="8"/>
        <v>0.82964098679306852</v>
      </c>
      <c r="N45">
        <f t="shared" si="11"/>
        <v>204.15818963060966</v>
      </c>
      <c r="O45">
        <f t="shared" si="12"/>
        <v>170.99730378791938</v>
      </c>
      <c r="P45">
        <f t="shared" si="13"/>
        <v>33.160885842690277</v>
      </c>
      <c r="Q45">
        <f t="shared" si="14"/>
        <v>204.15818963060966</v>
      </c>
      <c r="R45" s="7"/>
    </row>
    <row r="46" spans="2:18" x14ac:dyDescent="0.3">
      <c r="B46">
        <f t="shared" si="15"/>
        <v>0.32000000000000012</v>
      </c>
      <c r="C46">
        <f t="shared" si="3"/>
        <v>0.99394019850841586</v>
      </c>
      <c r="D46" s="6">
        <f t="shared" si="1"/>
        <v>0.79166666666666663</v>
      </c>
      <c r="E46" s="6">
        <f t="shared" si="9"/>
        <v>0.375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206.74</v>
      </c>
      <c r="L46">
        <f t="shared" si="10"/>
        <v>194.40284800000001</v>
      </c>
      <c r="M46">
        <f t="shared" si="8"/>
        <v>0.82714442013329481</v>
      </c>
      <c r="N46">
        <f t="shared" si="11"/>
        <v>204.60745443713631</v>
      </c>
      <c r="O46">
        <f t="shared" si="12"/>
        <v>171.00383741835736</v>
      </c>
      <c r="P46">
        <f t="shared" si="13"/>
        <v>33.603617018778948</v>
      </c>
      <c r="Q46">
        <f t="shared" si="14"/>
        <v>204.60745443713631</v>
      </c>
      <c r="R46" s="4"/>
    </row>
    <row r="47" spans="2:18" x14ac:dyDescent="0.3">
      <c r="B47">
        <f t="shared" si="15"/>
        <v>0.33000000000000013</v>
      </c>
      <c r="C47">
        <f t="shared" si="3"/>
        <v>0.99260845865571801</v>
      </c>
      <c r="D47" s="6">
        <f t="shared" si="1"/>
        <v>0.79166666666666663</v>
      </c>
      <c r="E47" s="6">
        <f t="shared" si="9"/>
        <v>0.375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207.39000000000001</v>
      </c>
      <c r="L47">
        <f t="shared" si="10"/>
        <v>194.12815799999998</v>
      </c>
      <c r="M47">
        <f t="shared" si="8"/>
        <v>0.8246458656775395</v>
      </c>
      <c r="N47">
        <f t="shared" si="11"/>
        <v>205.06448117656876</v>
      </c>
      <c r="O47">
        <f t="shared" si="12"/>
        <v>171.02330608286493</v>
      </c>
      <c r="P47">
        <f t="shared" si="13"/>
        <v>34.041175093703835</v>
      </c>
      <c r="Q47">
        <f t="shared" si="14"/>
        <v>205.06448117656876</v>
      </c>
      <c r="R47" s="4"/>
    </row>
    <row r="48" spans="2:18" x14ac:dyDescent="0.3">
      <c r="B48">
        <f t="shared" si="15"/>
        <v>0.34000000000000014</v>
      </c>
      <c r="C48">
        <f t="shared" si="3"/>
        <v>0.99098670134715217</v>
      </c>
      <c r="D48" s="6">
        <f t="shared" si="1"/>
        <v>0.79166666666666663</v>
      </c>
      <c r="E48" s="6">
        <f t="shared" si="9"/>
        <v>0.375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208.06</v>
      </c>
      <c r="L48">
        <f t="shared" si="10"/>
        <v>193.82732799999999</v>
      </c>
      <c r="M48">
        <f t="shared" si="8"/>
        <v>0.82211775575223545</v>
      </c>
      <c r="N48">
        <f t="shared" si="11"/>
        <v>205.52826036299768</v>
      </c>
      <c r="O48">
        <f t="shared" si="12"/>
        <v>171.04982026181011</v>
      </c>
      <c r="P48">
        <f t="shared" si="13"/>
        <v>34.478440101187573</v>
      </c>
      <c r="Q48">
        <f t="shared" si="14"/>
        <v>205.52826036299768</v>
      </c>
      <c r="R48" s="4"/>
    </row>
    <row r="49" spans="2:18" x14ac:dyDescent="0.3">
      <c r="B49">
        <f t="shared" si="15"/>
        <v>0.35000000000000014</v>
      </c>
      <c r="C49">
        <f t="shared" si="3"/>
        <v>0.98901305736940681</v>
      </c>
      <c r="D49" s="6">
        <f t="shared" si="1"/>
        <v>0.79166666666666663</v>
      </c>
      <c r="E49" s="6">
        <f t="shared" si="9"/>
        <v>0.375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208.75</v>
      </c>
      <c r="L49">
        <f t="shared" si="10"/>
        <v>193.49875</v>
      </c>
      <c r="M49">
        <f t="shared" si="8"/>
        <v>0.81952831175619523</v>
      </c>
      <c r="N49">
        <f t="shared" si="11"/>
        <v>205.99758116467166</v>
      </c>
      <c r="O49">
        <f t="shared" si="12"/>
        <v>171.07653507910575</v>
      </c>
      <c r="P49">
        <f t="shared" si="13"/>
        <v>34.921046085565919</v>
      </c>
      <c r="Q49">
        <f t="shared" si="14"/>
        <v>205.99758116467166</v>
      </c>
      <c r="R49" s="4"/>
    </row>
    <row r="50" spans="2:18" x14ac:dyDescent="0.3">
      <c r="B50">
        <f t="shared" si="15"/>
        <v>0.36000000000000015</v>
      </c>
      <c r="C50">
        <f t="shared" si="3"/>
        <v>0.98661308217233512</v>
      </c>
      <c r="D50" s="6">
        <f t="shared" si="1"/>
        <v>0.79166666666666663</v>
      </c>
      <c r="E50" s="6">
        <f t="shared" si="9"/>
        <v>0.375</v>
      </c>
      <c r="F50" s="8">
        <f t="shared" si="4"/>
        <v>6.4800000000000052E-2</v>
      </c>
      <c r="G50" s="8">
        <f t="shared" si="5"/>
        <v>-1.6796160000000025E-2</v>
      </c>
      <c r="H50">
        <f t="shared" si="16"/>
        <v>12.96000000000001</v>
      </c>
      <c r="I50">
        <f t="shared" si="16"/>
        <v>-3.3592320000000049</v>
      </c>
      <c r="J50">
        <f t="shared" si="6"/>
        <v>9.6007680000000057</v>
      </c>
      <c r="K50">
        <f t="shared" si="7"/>
        <v>209.46</v>
      </c>
      <c r="L50">
        <f t="shared" si="10"/>
        <v>193.14076800000001</v>
      </c>
      <c r="M50">
        <f t="shared" si="8"/>
        <v>0.81684068831251599</v>
      </c>
      <c r="N50">
        <f t="shared" si="11"/>
        <v>206.47098069961166</v>
      </c>
      <c r="O50">
        <f t="shared" si="12"/>
        <v>171.09545057393962</v>
      </c>
      <c r="P50">
        <f t="shared" si="13"/>
        <v>35.375530125672036</v>
      </c>
      <c r="Q50">
        <f t="shared" si="14"/>
        <v>206.47098069961166</v>
      </c>
      <c r="R50" s="4"/>
    </row>
    <row r="51" spans="2:18" x14ac:dyDescent="0.3">
      <c r="B51">
        <f t="shared" si="15"/>
        <v>0.37000000000000016</v>
      </c>
      <c r="C51">
        <f t="shared" si="3"/>
        <v>0.98369750062855899</v>
      </c>
      <c r="D51" s="6">
        <f t="shared" si="1"/>
        <v>0.79166666666666663</v>
      </c>
      <c r="E51" s="6">
        <f t="shared" si="9"/>
        <v>0.375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210.19000000000003</v>
      </c>
      <c r="L51">
        <f t="shared" si="10"/>
        <v>192.751678</v>
      </c>
      <c r="M51">
        <f t="shared" si="8"/>
        <v>0.81401200669328999</v>
      </c>
      <c r="N51">
        <f t="shared" si="11"/>
        <v>206.94668148458376</v>
      </c>
      <c r="O51">
        <f t="shared" si="12"/>
        <v>171.09718368686265</v>
      </c>
      <c r="P51">
        <f t="shared" si="13"/>
        <v>35.849497797721121</v>
      </c>
      <c r="Q51">
        <f t="shared" si="14"/>
        <v>206.94668148458376</v>
      </c>
      <c r="R51" s="7"/>
    </row>
    <row r="52" spans="2:18" x14ac:dyDescent="0.3">
      <c r="B52">
        <f t="shared" si="15"/>
        <v>0.38000000000000017</v>
      </c>
      <c r="C52">
        <f t="shared" si="3"/>
        <v>0.98015969426592242</v>
      </c>
      <c r="D52" s="6">
        <f t="shared" si="1"/>
        <v>0.79166666666666663</v>
      </c>
      <c r="E52" s="6">
        <f t="shared" si="9"/>
        <v>0.375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210.94000000000003</v>
      </c>
      <c r="L52">
        <f t="shared" si="10"/>
        <v>192.32972799999999</v>
      </c>
      <c r="M52">
        <f t="shared" si="8"/>
        <v>0.8109922844521732</v>
      </c>
      <c r="N52">
        <f t="shared" si="11"/>
        <v>207.42251500355633</v>
      </c>
      <c r="O52">
        <f t="shared" si="12"/>
        <v>171.07071248234143</v>
      </c>
      <c r="P52">
        <f t="shared" si="13"/>
        <v>36.3518025212149</v>
      </c>
      <c r="Q52">
        <f t="shared" si="14"/>
        <v>207.42251500355633</v>
      </c>
      <c r="R52" s="4"/>
    </row>
    <row r="53" spans="2:18" x14ac:dyDescent="0.3">
      <c r="B53">
        <f t="shared" si="15"/>
        <v>0.39000000000000018</v>
      </c>
      <c r="C53">
        <f t="shared" si="3"/>
        <v>0.97587297858233069</v>
      </c>
      <c r="D53" s="6">
        <f t="shared" si="1"/>
        <v>0.79166666666666663</v>
      </c>
      <c r="E53" s="6">
        <f t="shared" si="9"/>
        <v>0.375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211.71</v>
      </c>
      <c r="L53">
        <f t="shared" si="10"/>
        <v>191.87311799999998</v>
      </c>
      <c r="M53">
        <f t="shared" si="8"/>
        <v>0.80772328264056337</v>
      </c>
      <c r="N53">
        <f t="shared" si="11"/>
        <v>207.89582944639352</v>
      </c>
      <c r="O53">
        <f t="shared" si="12"/>
        <v>171.00309616783369</v>
      </c>
      <c r="P53">
        <f t="shared" si="13"/>
        <v>36.892733278559831</v>
      </c>
      <c r="Q53">
        <f t="shared" si="14"/>
        <v>207.89582944639352</v>
      </c>
      <c r="R53" s="4"/>
    </row>
    <row r="54" spans="2:18" x14ac:dyDescent="0.3">
      <c r="B54">
        <f t="shared" si="15"/>
        <v>0.40000000000000019</v>
      </c>
      <c r="C54">
        <f t="shared" si="3"/>
        <v>0.97068776924864353</v>
      </c>
      <c r="D54" s="6">
        <f t="shared" si="1"/>
        <v>0.79166666666666663</v>
      </c>
      <c r="E54" s="6">
        <f t="shared" si="9"/>
        <v>0.375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212.5</v>
      </c>
      <c r="L54">
        <f t="shared" si="10"/>
        <v>191.38</v>
      </c>
      <c r="M54">
        <f t="shared" si="8"/>
        <v>0.80413731394562127</v>
      </c>
      <c r="N54">
        <f t="shared" si="11"/>
        <v>208.36338007053155</v>
      </c>
      <c r="O54">
        <f t="shared" si="12"/>
        <v>170.87917921344453</v>
      </c>
      <c r="P54">
        <f t="shared" si="13"/>
        <v>37.484200857087004</v>
      </c>
      <c r="Q54">
        <f t="shared" si="14"/>
        <v>208.36338007053155</v>
      </c>
      <c r="R54" s="4"/>
    </row>
    <row r="55" spans="2:18" x14ac:dyDescent="0.3">
      <c r="B55">
        <f t="shared" si="15"/>
        <v>0.4100000000000002</v>
      </c>
      <c r="C55">
        <f t="shared" si="3"/>
        <v>0.96442881072736364</v>
      </c>
      <c r="D55" s="6">
        <f t="shared" si="1"/>
        <v>0.79166666666666663</v>
      </c>
      <c r="E55" s="6">
        <f t="shared" si="9"/>
        <v>0.375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213.31</v>
      </c>
      <c r="L55">
        <f t="shared" si="10"/>
        <v>190.848478</v>
      </c>
      <c r="M55">
        <f t="shared" si="8"/>
        <v>0.80015608699100949</v>
      </c>
      <c r="N55">
        <f t="shared" si="11"/>
        <v>208.82120155138247</v>
      </c>
      <c r="O55">
        <f t="shared" si="12"/>
        <v>170.68129491605222</v>
      </c>
      <c r="P55">
        <f t="shared" si="13"/>
        <v>38.139906635330242</v>
      </c>
      <c r="Q55">
        <f t="shared" si="14"/>
        <v>208.82120155138247</v>
      </c>
      <c r="R55" s="7"/>
    </row>
    <row r="56" spans="2:18" x14ac:dyDescent="0.3">
      <c r="B56">
        <f t="shared" si="15"/>
        <v>0.42000000000000021</v>
      </c>
      <c r="C56">
        <f t="shared" si="3"/>
        <v>0.95689274505891364</v>
      </c>
      <c r="D56" s="6">
        <f t="shared" si="1"/>
        <v>0.79166666666666663</v>
      </c>
      <c r="E56" s="6">
        <f t="shared" si="9"/>
        <v>0.375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214.14000000000001</v>
      </c>
      <c r="L56">
        <f t="shared" si="10"/>
        <v>190.27660799999998</v>
      </c>
      <c r="M56">
        <f t="shared" si="8"/>
        <v>0.79568970635053771</v>
      </c>
      <c r="N56">
        <f t="shared" si="11"/>
        <v>209.26446337300777</v>
      </c>
      <c r="O56">
        <f t="shared" si="12"/>
        <v>170.38899371790416</v>
      </c>
      <c r="P56">
        <f t="shared" si="13"/>
        <v>38.875469655103622</v>
      </c>
      <c r="Q56">
        <f t="shared" si="14"/>
        <v>209.26446337300777</v>
      </c>
      <c r="R56" s="7"/>
    </row>
    <row r="57" spans="2:18" x14ac:dyDescent="0.3">
      <c r="B57">
        <f t="shared" si="15"/>
        <v>0.43000000000000022</v>
      </c>
      <c r="C57">
        <f t="shared" si="3"/>
        <v>0.94784643692158199</v>
      </c>
      <c r="D57" s="6">
        <f t="shared" si="1"/>
        <v>0.79166666666666663</v>
      </c>
      <c r="E57" s="6">
        <f t="shared" si="9"/>
        <v>0.375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214.99</v>
      </c>
      <c r="L57">
        <f t="shared" si="10"/>
        <v>189.662398</v>
      </c>
      <c r="M57">
        <f t="shared" si="8"/>
        <v>0.79063600639549336</v>
      </c>
      <c r="N57">
        <f t="shared" si="11"/>
        <v>209.68731209685453</v>
      </c>
      <c r="O57">
        <f t="shared" si="12"/>
        <v>169.97883501496713</v>
      </c>
      <c r="P57">
        <f t="shared" si="13"/>
        <v>39.708477081887395</v>
      </c>
      <c r="Q57">
        <f t="shared" si="14"/>
        <v>209.68731209685453</v>
      </c>
      <c r="R57" s="7"/>
    </row>
    <row r="58" spans="2:18" x14ac:dyDescent="0.3">
      <c r="B58">
        <f t="shared" si="15"/>
        <v>0.44000000000000022</v>
      </c>
      <c r="C58">
        <f t="shared" si="3"/>
        <v>0.93702664394300317</v>
      </c>
      <c r="D58" s="6">
        <f t="shared" si="1"/>
        <v>0.79166666666666663</v>
      </c>
      <c r="E58" s="6">
        <f t="shared" si="9"/>
        <v>0.375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215.86</v>
      </c>
      <c r="L58">
        <f t="shared" si="10"/>
        <v>189.00380799999999</v>
      </c>
      <c r="M58">
        <f t="shared" si="8"/>
        <v>0.78488046993323113</v>
      </c>
      <c r="N58">
        <f t="shared" si="11"/>
        <v>210.0827085975771</v>
      </c>
      <c r="O58">
        <f t="shared" si="12"/>
        <v>169.42429823978728</v>
      </c>
      <c r="P58">
        <f t="shared" si="13"/>
        <v>40.658410357789812</v>
      </c>
      <c r="Q58">
        <f t="shared" si="14"/>
        <v>210.0827085975771</v>
      </c>
      <c r="R58" s="4"/>
    </row>
    <row r="59" spans="2:18" x14ac:dyDescent="0.3">
      <c r="B59">
        <f t="shared" si="15"/>
        <v>0.45000000000000023</v>
      </c>
      <c r="C59">
        <f t="shared" si="3"/>
        <v>0.92414181997875611</v>
      </c>
      <c r="D59" s="6">
        <f t="shared" si="1"/>
        <v>0.79166666666666663</v>
      </c>
      <c r="E59" s="6">
        <f t="shared" si="9"/>
        <v>0.375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216.75000000000003</v>
      </c>
      <c r="L59">
        <f t="shared" si="10"/>
        <v>188.29874999999998</v>
      </c>
      <c r="M59">
        <f t="shared" si="8"/>
        <v>0.77829706581413061</v>
      </c>
      <c r="N59">
        <f t="shared" si="11"/>
        <v>210.4422743937443</v>
      </c>
      <c r="O59">
        <f t="shared" si="12"/>
        <v>168.69588901521283</v>
      </c>
      <c r="P59">
        <f t="shared" si="13"/>
        <v>41.746385378531471</v>
      </c>
      <c r="Q59">
        <f t="shared" si="14"/>
        <v>210.4422743937443</v>
      </c>
      <c r="R59" s="7"/>
    </row>
    <row r="60" spans="2:18" x14ac:dyDescent="0.3">
      <c r="B60">
        <f t="shared" si="15"/>
        <v>0.46000000000000024</v>
      </c>
      <c r="C60">
        <f t="shared" si="3"/>
        <v>0.90887703898514338</v>
      </c>
      <c r="D60" s="6">
        <f t="shared" si="1"/>
        <v>0.79166666666666663</v>
      </c>
      <c r="E60" s="6">
        <f t="shared" si="9"/>
        <v>0.375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217.66000000000003</v>
      </c>
      <c r="L60">
        <f t="shared" si="10"/>
        <v>187.54508799999999</v>
      </c>
      <c r="M60">
        <f t="shared" si="8"/>
        <v>0.77075042255857984</v>
      </c>
      <c r="N60">
        <f t="shared" si="11"/>
        <v>210.75616914931445</v>
      </c>
      <c r="O60">
        <f t="shared" si="12"/>
        <v>167.76153697410049</v>
      </c>
      <c r="P60">
        <f t="shared" si="13"/>
        <v>42.994632175213958</v>
      </c>
      <c r="Q60">
        <f t="shared" si="14"/>
        <v>210.75616914931445</v>
      </c>
      <c r="R60" s="7"/>
    </row>
    <row r="61" spans="2:18" x14ac:dyDescent="0.3">
      <c r="B61">
        <f t="shared" si="15"/>
        <v>0.47000000000000025</v>
      </c>
      <c r="C61">
        <f t="shared" si="3"/>
        <v>0.89090317880438652</v>
      </c>
      <c r="D61" s="6">
        <f t="shared" si="1"/>
        <v>0.79166666666666663</v>
      </c>
      <c r="E61" s="6">
        <f t="shared" si="9"/>
        <v>0.375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218.59000000000003</v>
      </c>
      <c r="L61">
        <f t="shared" si="10"/>
        <v>186.74063799999999</v>
      </c>
      <c r="M61">
        <f t="shared" si="8"/>
        <v>0.76209981638862823</v>
      </c>
      <c r="N61">
        <f t="shared" si="11"/>
        <v>211.01303093229498</v>
      </c>
      <c r="O61">
        <f t="shared" si="12"/>
        <v>166.58739886439028</v>
      </c>
      <c r="P61">
        <f t="shared" si="13"/>
        <v>44.425632067904708</v>
      </c>
      <c r="Q61">
        <f t="shared" si="14"/>
        <v>211.01303093229498</v>
      </c>
      <c r="R61" s="7"/>
    </row>
    <row r="62" spans="2:18" x14ac:dyDescent="0.3">
      <c r="B62">
        <f t="shared" si="15"/>
        <v>0.48000000000000026</v>
      </c>
      <c r="C62">
        <f t="shared" si="3"/>
        <v>0.86989152563700145</v>
      </c>
      <c r="D62" s="6">
        <f t="shared" si="1"/>
        <v>0.79166666666666663</v>
      </c>
      <c r="E62" s="6">
        <f t="shared" si="9"/>
        <v>0.375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219.54000000000002</v>
      </c>
      <c r="L62">
        <f t="shared" si="10"/>
        <v>185.88316799999998</v>
      </c>
      <c r="M62">
        <f t="shared" si="8"/>
        <v>0.75220545692203089</v>
      </c>
      <c r="N62">
        <f t="shared" si="11"/>
        <v>211.20002069310806</v>
      </c>
      <c r="O62">
        <f t="shared" si="12"/>
        <v>165.13918601266269</v>
      </c>
      <c r="P62">
        <f t="shared" si="13"/>
        <v>46.060834680445367</v>
      </c>
      <c r="Q62">
        <f t="shared" si="14"/>
        <v>211.20002069310806</v>
      </c>
      <c r="R62" s="7"/>
    </row>
    <row r="63" spans="2:18" x14ac:dyDescent="0.3">
      <c r="B63">
        <f t="shared" si="15"/>
        <v>0.49000000000000027</v>
      </c>
      <c r="C63">
        <f t="shared" si="3"/>
        <v>0.84553473491646447</v>
      </c>
      <c r="D63" s="6">
        <f t="shared" si="1"/>
        <v>0.79166666666666663</v>
      </c>
      <c r="E63" s="6">
        <f t="shared" si="9"/>
        <v>0.375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220.51000000000002</v>
      </c>
      <c r="L63">
        <f t="shared" si="10"/>
        <v>184.97039799999999</v>
      </c>
      <c r="M63">
        <f t="shared" si="8"/>
        <v>0.74093745304012115</v>
      </c>
      <c r="N63">
        <f t="shared" si="11"/>
        <v>211.30302018793961</v>
      </c>
      <c r="O63">
        <f t="shared" si="12"/>
        <v>163.38411776987712</v>
      </c>
      <c r="P63">
        <f t="shared" si="13"/>
        <v>47.91890241806248</v>
      </c>
      <c r="Q63">
        <f t="shared" si="14"/>
        <v>211.30302018793961</v>
      </c>
      <c r="R63" s="7"/>
    </row>
    <row r="64" spans="2:18" x14ac:dyDescent="0.3">
      <c r="B64" s="13">
        <f t="shared" si="15"/>
        <v>0.50000000000000022</v>
      </c>
      <c r="C64" s="13">
        <f t="shared" si="3"/>
        <v>0.81757447619364287</v>
      </c>
      <c r="D64" s="14">
        <f t="shared" si="1"/>
        <v>0.79166666666666663</v>
      </c>
      <c r="E64" s="14">
        <f t="shared" si="9"/>
        <v>0.375</v>
      </c>
      <c r="F64" s="15">
        <f t="shared" si="4"/>
        <v>0.12500000000000011</v>
      </c>
      <c r="G64" s="15">
        <f t="shared" si="5"/>
        <v>-6.2500000000000111E-2</v>
      </c>
      <c r="H64" s="13">
        <f t="shared" si="16"/>
        <v>25.000000000000021</v>
      </c>
      <c r="I64" s="13">
        <f t="shared" si="16"/>
        <v>-12.500000000000021</v>
      </c>
      <c r="J64" s="13">
        <f t="shared" si="6"/>
        <v>12.5</v>
      </c>
      <c r="K64" s="13">
        <f t="shared" si="7"/>
        <v>221.50000000000003</v>
      </c>
      <c r="L64" s="13">
        <f t="shared" si="10"/>
        <v>183.99999999999997</v>
      </c>
      <c r="M64" s="13">
        <f t="shared" si="8"/>
        <v>0.72818757786316446</v>
      </c>
      <c r="N64" s="13">
        <f t="shared" si="11"/>
        <v>211.3070341698687</v>
      </c>
      <c r="O64" s="13">
        <f t="shared" si="12"/>
        <v>161.29354849669096</v>
      </c>
      <c r="P64" s="13">
        <f t="shared" si="13"/>
        <v>50.013485673177733</v>
      </c>
      <c r="Q64" s="13">
        <f t="shared" si="14"/>
        <v>211.3070341698687</v>
      </c>
      <c r="R64" s="7"/>
    </row>
    <row r="65" spans="2:18" x14ac:dyDescent="0.3">
      <c r="B65">
        <f t="shared" si="15"/>
        <v>0.51000000000000023</v>
      </c>
      <c r="C65">
        <f t="shared" si="3"/>
        <v>0.78583498304255772</v>
      </c>
      <c r="D65" s="6">
        <f t="shared" si="1"/>
        <v>0.79166666666666663</v>
      </c>
      <c r="E65" s="6">
        <f t="shared" si="9"/>
        <v>0.375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222.51000000000002</v>
      </c>
      <c r="L65">
        <f t="shared" si="10"/>
        <v>182.96959799999999</v>
      </c>
      <c r="M65">
        <f t="shared" si="8"/>
        <v>0.71388347786628747</v>
      </c>
      <c r="N65">
        <f t="shared" si="11"/>
        <v>211.19683769599112</v>
      </c>
      <c r="O65">
        <f t="shared" si="12"/>
        <v>158.84621266002765</v>
      </c>
      <c r="P65">
        <f t="shared" si="13"/>
        <v>52.350625035963482</v>
      </c>
      <c r="Q65">
        <f t="shared" si="14"/>
        <v>211.19683769599112</v>
      </c>
      <c r="R65" s="7"/>
    </row>
    <row r="66" spans="2:18" x14ac:dyDescent="0.3">
      <c r="B66">
        <f t="shared" si="15"/>
        <v>0.52000000000000024</v>
      </c>
      <c r="C66">
        <f t="shared" si="3"/>
        <v>0.75026010559511658</v>
      </c>
      <c r="D66" s="6">
        <f t="shared" si="1"/>
        <v>0.79166666666666663</v>
      </c>
      <c r="E66" s="6">
        <f t="shared" si="9"/>
        <v>0.375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223.54000000000002</v>
      </c>
      <c r="L66">
        <f t="shared" si="10"/>
        <v>181.87676799999997</v>
      </c>
      <c r="M66">
        <f t="shared" si="8"/>
        <v>0.69800428149303018</v>
      </c>
      <c r="N66">
        <f t="shared" si="11"/>
        <v>210.95788231683744</v>
      </c>
      <c r="O66">
        <f t="shared" si="12"/>
        <v>156.03187708495199</v>
      </c>
      <c r="P66">
        <f t="shared" si="13"/>
        <v>54.926005231885448</v>
      </c>
      <c r="Q66">
        <f t="shared" si="14"/>
        <v>210.95788231683744</v>
      </c>
      <c r="R66" s="7"/>
    </row>
    <row r="67" spans="2:18" x14ac:dyDescent="0.3">
      <c r="B67">
        <f t="shared" si="15"/>
        <v>0.53000000000000025</v>
      </c>
      <c r="C67">
        <f t="shared" si="3"/>
        <v>0.71094950262500278</v>
      </c>
      <c r="D67" s="6">
        <f t="shared" si="1"/>
        <v>0.79166666666666663</v>
      </c>
      <c r="E67" s="6">
        <f t="shared" si="9"/>
        <v>0.375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224.59000000000003</v>
      </c>
      <c r="L67">
        <f t="shared" si="10"/>
        <v>180.71903799999998</v>
      </c>
      <c r="M67">
        <f t="shared" si="8"/>
        <v>0.68059573613176361</v>
      </c>
      <c r="N67">
        <f t="shared" si="11"/>
        <v>210.57742767719864</v>
      </c>
      <c r="O67">
        <f t="shared" si="12"/>
        <v>152.8549963778328</v>
      </c>
      <c r="P67">
        <f t="shared" si="13"/>
        <v>57.722431299365837</v>
      </c>
      <c r="Q67">
        <f t="shared" si="14"/>
        <v>210.57742767719864</v>
      </c>
      <c r="R67" s="7"/>
    </row>
    <row r="68" spans="2:18" x14ac:dyDescent="0.3">
      <c r="B68">
        <f t="shared" si="15"/>
        <v>0.54000000000000026</v>
      </c>
      <c r="C68">
        <f t="shared" si="3"/>
        <v>0.66818777216816483</v>
      </c>
      <c r="D68" s="6">
        <f t="shared" si="1"/>
        <v>0.79166666666666663</v>
      </c>
      <c r="E68" s="6">
        <f t="shared" si="9"/>
        <v>0.375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225.66000000000003</v>
      </c>
      <c r="L68">
        <f t="shared" si="10"/>
        <v>179.49388799999997</v>
      </c>
      <c r="M68">
        <f t="shared" si="8"/>
        <v>0.66178223645179446</v>
      </c>
      <c r="N68">
        <f t="shared" si="11"/>
        <v>210.04580084764405</v>
      </c>
      <c r="O68">
        <f t="shared" si="12"/>
        <v>149.33777947771196</v>
      </c>
      <c r="P68">
        <f t="shared" si="13"/>
        <v>60.708021369932077</v>
      </c>
      <c r="Q68">
        <f t="shared" si="14"/>
        <v>210.04580084764405</v>
      </c>
      <c r="R68" s="7"/>
    </row>
    <row r="69" spans="2:18" x14ac:dyDescent="0.3">
      <c r="B69">
        <f t="shared" si="15"/>
        <v>0.55000000000000027</v>
      </c>
      <c r="C69">
        <f t="shared" si="3"/>
        <v>0.62245933120185315</v>
      </c>
      <c r="D69" s="6">
        <f t="shared" si="1"/>
        <v>0.79166666666666663</v>
      </c>
      <c r="E69" s="6">
        <f t="shared" si="9"/>
        <v>0.375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226.75000000000003</v>
      </c>
      <c r="L69">
        <f t="shared" si="10"/>
        <v>178.19874999999996</v>
      </c>
      <c r="M69">
        <f t="shared" si="8"/>
        <v>0.64177271028887417</v>
      </c>
      <c r="N69">
        <f t="shared" si="11"/>
        <v>209.3576173004127</v>
      </c>
      <c r="O69">
        <f t="shared" si="12"/>
        <v>145.52196205800223</v>
      </c>
      <c r="P69">
        <f t="shared" si="13"/>
        <v>63.835655242410468</v>
      </c>
      <c r="Q69">
        <f t="shared" si="14"/>
        <v>209.3576173004127</v>
      </c>
      <c r="R69" s="7"/>
    </row>
    <row r="70" spans="2:18" x14ac:dyDescent="0.3">
      <c r="B70">
        <f t="shared" si="15"/>
        <v>0.56000000000000028</v>
      </c>
      <c r="C70">
        <f t="shared" si="3"/>
        <v>0.57444251681165748</v>
      </c>
      <c r="D70" s="6">
        <f t="shared" si="1"/>
        <v>0.79166666666666663</v>
      </c>
      <c r="E70" s="6">
        <f t="shared" si="9"/>
        <v>0.375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227.86000000000004</v>
      </c>
      <c r="L70">
        <f t="shared" si="10"/>
        <v>176.83100799999997</v>
      </c>
      <c r="M70">
        <f t="shared" si="8"/>
        <v>0.62085763668612659</v>
      </c>
      <c r="N70">
        <f t="shared" si="11"/>
        <v>208.51274737559527</v>
      </c>
      <c r="O70">
        <f t="shared" si="12"/>
        <v>141.46862109530082</v>
      </c>
      <c r="P70">
        <f t="shared" si="13"/>
        <v>67.044126280294449</v>
      </c>
      <c r="Q70">
        <f t="shared" si="14"/>
        <v>208.51274737559527</v>
      </c>
      <c r="R70" s="7"/>
    </row>
    <row r="71" spans="2:18" x14ac:dyDescent="0.3">
      <c r="B71">
        <f t="shared" si="15"/>
        <v>0.57000000000000028</v>
      </c>
      <c r="C71">
        <f t="shared" si="3"/>
        <v>0.52497918747893846</v>
      </c>
      <c r="D71" s="6">
        <f t="shared" si="1"/>
        <v>0.79166666666666663</v>
      </c>
      <c r="E71" s="6">
        <f t="shared" si="9"/>
        <v>0.375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228.99000000000004</v>
      </c>
      <c r="L71">
        <f t="shared" si="10"/>
        <v>175.38799799999995</v>
      </c>
      <c r="M71">
        <f t="shared" si="8"/>
        <v>0.5993956860742452</v>
      </c>
      <c r="N71">
        <f t="shared" si="11"/>
        <v>207.51680676374309</v>
      </c>
      <c r="O71">
        <f t="shared" si="12"/>
        <v>137.25561815414144</v>
      </c>
      <c r="P71">
        <f t="shared" si="13"/>
        <v>70.261188609601632</v>
      </c>
      <c r="Q71">
        <f t="shared" si="14"/>
        <v>207.51680676374309</v>
      </c>
      <c r="R71" s="4"/>
    </row>
    <row r="72" spans="2:18" x14ac:dyDescent="0.3">
      <c r="B72">
        <f t="shared" si="15"/>
        <v>0.58000000000000029</v>
      </c>
      <c r="C72">
        <f t="shared" si="3"/>
        <v>0.47502081252105832</v>
      </c>
      <c r="D72" s="6">
        <f t="shared" si="1"/>
        <v>0.79166666666666663</v>
      </c>
      <c r="E72" s="6">
        <f t="shared" si="9"/>
        <v>0.375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230.14000000000004</v>
      </c>
      <c r="L72">
        <f t="shared" si="10"/>
        <v>173.86700799999994</v>
      </c>
      <c r="M72">
        <f t="shared" si="8"/>
        <v>0.57779048256933452</v>
      </c>
      <c r="N72">
        <f t="shared" si="11"/>
        <v>206.38100720330033</v>
      </c>
      <c r="O72">
        <f t="shared" si="12"/>
        <v>132.97270165850668</v>
      </c>
      <c r="P72">
        <f t="shared" si="13"/>
        <v>73.408305544793635</v>
      </c>
      <c r="Q72">
        <f t="shared" si="14"/>
        <v>206.38100720330033</v>
      </c>
      <c r="R72" s="4"/>
    </row>
    <row r="73" spans="2:18" x14ac:dyDescent="0.3">
      <c r="B73">
        <f t="shared" si="15"/>
        <v>0.5900000000000003</v>
      </c>
      <c r="C73">
        <f t="shared" si="3"/>
        <v>0.42555748318833941</v>
      </c>
      <c r="D73" s="6">
        <f t="shared" si="1"/>
        <v>0.79166666666666663</v>
      </c>
      <c r="E73" s="6">
        <f t="shared" si="9"/>
        <v>0.375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231.31000000000003</v>
      </c>
      <c r="L73">
        <f t="shared" si="10"/>
        <v>172.26527799999994</v>
      </c>
      <c r="M73">
        <f t="shared" si="8"/>
        <v>0.55646028987229434</v>
      </c>
      <c r="N73">
        <f t="shared" si="11"/>
        <v>205.12132111954904</v>
      </c>
      <c r="O73">
        <f t="shared" si="12"/>
        <v>128.71482965036043</v>
      </c>
      <c r="P73">
        <f t="shared" si="13"/>
        <v>76.406491469188609</v>
      </c>
      <c r="Q73">
        <f t="shared" si="14"/>
        <v>205.12132111954904</v>
      </c>
      <c r="R73" s="4"/>
    </row>
    <row r="74" spans="2:18" x14ac:dyDescent="0.3">
      <c r="B74">
        <f t="shared" si="15"/>
        <v>0.60000000000000031</v>
      </c>
      <c r="C74">
        <f t="shared" si="3"/>
        <v>0.37754066879814385</v>
      </c>
      <c r="D74" s="6">
        <f t="shared" si="1"/>
        <v>0.79166666666666663</v>
      </c>
      <c r="E74" s="6">
        <f t="shared" si="9"/>
        <v>0.375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232.50000000000003</v>
      </c>
      <c r="L74">
        <f t="shared" si="10"/>
        <v>170.57999999999996</v>
      </c>
      <c r="M74">
        <f t="shared" si="8"/>
        <v>0.53580525415799718</v>
      </c>
      <c r="N74">
        <f t="shared" si="11"/>
        <v>203.7570613374632</v>
      </c>
      <c r="O74">
        <f t="shared" si="12"/>
        <v>124.57472159173436</v>
      </c>
      <c r="P74">
        <f t="shared" si="13"/>
        <v>79.182339745728825</v>
      </c>
      <c r="Q74">
        <f t="shared" si="14"/>
        <v>203.7570613374632</v>
      </c>
      <c r="R74" s="4"/>
    </row>
    <row r="75" spans="2:18" x14ac:dyDescent="0.3">
      <c r="B75">
        <f t="shared" si="15"/>
        <v>0.61000000000000032</v>
      </c>
      <c r="C75">
        <f t="shared" si="3"/>
        <v>0.33181222783183228</v>
      </c>
      <c r="D75" s="6">
        <f t="shared" si="1"/>
        <v>0.79166666666666663</v>
      </c>
      <c r="E75" s="6">
        <f t="shared" si="9"/>
        <v>0.375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233.71000000000004</v>
      </c>
      <c r="L75">
        <f t="shared" si="10"/>
        <v>168.80831799999993</v>
      </c>
      <c r="M75">
        <f t="shared" si="8"/>
        <v>0.5161775086708944</v>
      </c>
      <c r="N75">
        <f t="shared" si="11"/>
        <v>202.30910652331062</v>
      </c>
      <c r="O75">
        <f t="shared" si="12"/>
        <v>120.63584555147474</v>
      </c>
      <c r="P75">
        <f t="shared" si="13"/>
        <v>81.673260971835859</v>
      </c>
      <c r="Q75">
        <f t="shared" si="14"/>
        <v>202.30910652331062</v>
      </c>
      <c r="R75" s="4"/>
    </row>
    <row r="76" spans="2:18" x14ac:dyDescent="0.3">
      <c r="B76">
        <f t="shared" si="15"/>
        <v>0.62000000000000033</v>
      </c>
      <c r="C76">
        <f t="shared" si="3"/>
        <v>0.28905049737499455</v>
      </c>
      <c r="D76" s="6">
        <f t="shared" si="1"/>
        <v>0.79166666666666663</v>
      </c>
      <c r="E76" s="6">
        <f t="shared" si="9"/>
        <v>0.375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234.94000000000005</v>
      </c>
      <c r="L76">
        <f t="shared" si="10"/>
        <v>166.94732799999994</v>
      </c>
      <c r="M76">
        <f t="shared" si="8"/>
        <v>0.49785868573295544</v>
      </c>
      <c r="N76">
        <f t="shared" si="11"/>
        <v>200.79807032139192</v>
      </c>
      <c r="O76">
        <f t="shared" si="12"/>
        <v>116.96691962610058</v>
      </c>
      <c r="P76">
        <f t="shared" si="13"/>
        <v>83.831150695291342</v>
      </c>
      <c r="Q76">
        <f t="shared" si="14"/>
        <v>200.79807032139192</v>
      </c>
      <c r="R76" s="4"/>
    </row>
    <row r="77" spans="2:18" x14ac:dyDescent="0.3">
      <c r="B77">
        <f t="shared" si="15"/>
        <v>0.63000000000000034</v>
      </c>
      <c r="C77">
        <f t="shared" si="3"/>
        <v>0.24973989440488098</v>
      </c>
      <c r="D77" s="6">
        <f t="shared" si="1"/>
        <v>0.79166666666666663</v>
      </c>
      <c r="E77" s="6">
        <f t="shared" si="9"/>
        <v>0.375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236.19000000000005</v>
      </c>
      <c r="L77">
        <f t="shared" si="10"/>
        <v>164.99407799999994</v>
      </c>
      <c r="M77">
        <f t="shared" si="8"/>
        <v>0.4810474907723804</v>
      </c>
      <c r="N77">
        <f t="shared" si="11"/>
        <v>199.24269763132611</v>
      </c>
      <c r="O77">
        <f t="shared" si="12"/>
        <v>113.61860684552856</v>
      </c>
      <c r="P77">
        <f t="shared" si="13"/>
        <v>85.624090785797563</v>
      </c>
      <c r="Q77">
        <f t="shared" si="14"/>
        <v>199.24269763132611</v>
      </c>
      <c r="R77" s="4"/>
    </row>
    <row r="78" spans="2:18" x14ac:dyDescent="0.3">
      <c r="B78">
        <f t="shared" si="15"/>
        <v>0.64000000000000035</v>
      </c>
      <c r="C78">
        <f t="shared" si="3"/>
        <v>0.21416501695744006</v>
      </c>
      <c r="D78" s="6">
        <f t="shared" ref="D78:D114" si="17">$D$10/($D$10+$B$10)</f>
        <v>0.79166666666666663</v>
      </c>
      <c r="E78" s="6">
        <f t="shared" si="9"/>
        <v>0.375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237.46000000000004</v>
      </c>
      <c r="L78">
        <f t="shared" si="10"/>
        <v>162.94556799999992</v>
      </c>
      <c r="M78">
        <f t="shared" si="8"/>
        <v>0.46585767624860941</v>
      </c>
      <c r="N78">
        <f t="shared" si="11"/>
        <v>197.658688138505</v>
      </c>
      <c r="O78">
        <f t="shared" si="12"/>
        <v>110.6225638019948</v>
      </c>
      <c r="P78">
        <f t="shared" si="13"/>
        <v>87.036124336510184</v>
      </c>
      <c r="Q78">
        <f t="shared" si="14"/>
        <v>197.658688138505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0.18242552380635524</v>
      </c>
      <c r="D79" s="6">
        <f t="shared" si="17"/>
        <v>0.79166666666666663</v>
      </c>
      <c r="E79" s="6">
        <f t="shared" si="9"/>
        <v>0.375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238.75000000000006</v>
      </c>
      <c r="L79">
        <f t="shared" si="10"/>
        <v>160.79874999999993</v>
      </c>
      <c r="M79">
        <f t="shared" ref="M79:M114" si="24">C79*D79^(1-EXP(-5*B79))+(1-C79)*E79</f>
        <v>0.45232476936045174</v>
      </c>
      <c r="N79">
        <f t="shared" si="11"/>
        <v>196.05803117760891</v>
      </c>
      <c r="O79">
        <f t="shared" si="12"/>
        <v>107.99253868480788</v>
      </c>
      <c r="P79">
        <f t="shared" si="13"/>
        <v>88.065492492801027</v>
      </c>
      <c r="Q79">
        <f t="shared" si="14"/>
        <v>196.05803117760891</v>
      </c>
      <c r="R79" s="4"/>
    </row>
    <row r="80" spans="2:18" x14ac:dyDescent="0.3">
      <c r="B80">
        <f t="shared" si="15"/>
        <v>0.66000000000000036</v>
      </c>
      <c r="C80">
        <f t="shared" si="19"/>
        <v>0.15446526508353364</v>
      </c>
      <c r="D80" s="6">
        <f t="shared" si="17"/>
        <v>0.79166666666666663</v>
      </c>
      <c r="E80" s="6">
        <f t="shared" ref="E80:E114" si="25">$E$10/($E$10+$C$10)</f>
        <v>0.375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240.06000000000006</v>
      </c>
      <c r="L80">
        <f t="shared" ref="L80:L114" si="26">$G$10+I80</f>
        <v>158.55052799999993</v>
      </c>
      <c r="M80">
        <f t="shared" si="24"/>
        <v>0.44041874289966093</v>
      </c>
      <c r="N80">
        <f t="shared" ref="N80:N114" si="27">M80*K80+(1-M80)*L80</f>
        <v>194.4488271926551</v>
      </c>
      <c r="O80">
        <f t="shared" ref="O80:O114" si="28">K80*M80</f>
        <v>105.72692342049262</v>
      </c>
      <c r="P80">
        <f t="shared" ref="P80:P114" si="29">(1-M80)*L80</f>
        <v>88.721903772162477</v>
      </c>
      <c r="Q80">
        <f t="shared" ref="Q80:Q114" si="30">P80+O80</f>
        <v>194.4488271926551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0.13010847436299688</v>
      </c>
      <c r="D81" s="6">
        <f t="shared" si="17"/>
        <v>0.79166666666666663</v>
      </c>
      <c r="E81" s="6">
        <f t="shared" si="25"/>
        <v>0.375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241.39000000000004</v>
      </c>
      <c r="L81">
        <f t="shared" si="26"/>
        <v>156.19775799999991</v>
      </c>
      <c r="M81">
        <f t="shared" si="24"/>
        <v>0.43005956567954962</v>
      </c>
      <c r="N81">
        <f t="shared" si="27"/>
        <v>192.83549659378707</v>
      </c>
      <c r="O81">
        <f t="shared" si="28"/>
        <v>103.81207855938651</v>
      </c>
      <c r="P81">
        <f t="shared" si="29"/>
        <v>89.023418034400549</v>
      </c>
      <c r="Q81">
        <f t="shared" si="30"/>
        <v>192.83549659378707</v>
      </c>
      <c r="R81" s="4"/>
    </row>
    <row r="82" spans="2:18" x14ac:dyDescent="0.3">
      <c r="B82">
        <f t="shared" si="31"/>
        <v>0.68000000000000038</v>
      </c>
      <c r="C82">
        <f t="shared" si="19"/>
        <v>0.10909682119561204</v>
      </c>
      <c r="D82" s="6">
        <f t="shared" si="17"/>
        <v>0.79166666666666663</v>
      </c>
      <c r="E82" s="6">
        <f t="shared" si="25"/>
        <v>0.375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242.74000000000007</v>
      </c>
      <c r="L82">
        <f t="shared" si="26"/>
        <v>153.73724799999991</v>
      </c>
      <c r="M82">
        <f t="shared" si="24"/>
        <v>0.42113301047502577</v>
      </c>
      <c r="N82">
        <f t="shared" si="27"/>
        <v>191.2192448903221</v>
      </c>
      <c r="O82">
        <f t="shared" si="28"/>
        <v>102.22582696270779</v>
      </c>
      <c r="P82">
        <f t="shared" si="29"/>
        <v>88.993417927614317</v>
      </c>
      <c r="Q82">
        <f t="shared" si="30"/>
        <v>191.2192448903221</v>
      </c>
      <c r="R82" s="4"/>
    </row>
    <row r="83" spans="2:18" x14ac:dyDescent="0.3">
      <c r="B83">
        <f t="shared" si="31"/>
        <v>0.69000000000000039</v>
      </c>
      <c r="C83">
        <f t="shared" si="19"/>
        <v>9.1122961014855508E-2</v>
      </c>
      <c r="D83" s="6">
        <f t="shared" si="17"/>
        <v>0.79166666666666663</v>
      </c>
      <c r="E83" s="6">
        <f t="shared" si="25"/>
        <v>0.375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244.11000000000004</v>
      </c>
      <c r="L83">
        <f t="shared" si="26"/>
        <v>151.1657579999999</v>
      </c>
      <c r="M83">
        <f t="shared" si="24"/>
        <v>0.41350489027937032</v>
      </c>
      <c r="N83">
        <f t="shared" si="27"/>
        <v>189.59865659030919</v>
      </c>
      <c r="O83">
        <f t="shared" si="28"/>
        <v>100.94067876609711</v>
      </c>
      <c r="P83">
        <f t="shared" si="29"/>
        <v>88.657977824212097</v>
      </c>
      <c r="Q83">
        <f t="shared" si="30"/>
        <v>189.59865659030919</v>
      </c>
      <c r="R83" s="4"/>
    </row>
    <row r="84" spans="2:18" x14ac:dyDescent="0.3">
      <c r="B84">
        <f t="shared" si="31"/>
        <v>0.7000000000000004</v>
      </c>
      <c r="C84">
        <f t="shared" si="19"/>
        <v>7.5858180021242894E-2</v>
      </c>
      <c r="D84" s="6">
        <f t="shared" si="17"/>
        <v>0.79166666666666663</v>
      </c>
      <c r="E84" s="6">
        <f t="shared" si="25"/>
        <v>0.375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245.50000000000006</v>
      </c>
      <c r="L84">
        <f t="shared" si="26"/>
        <v>148.4799999999999</v>
      </c>
      <c r="M84">
        <f t="shared" si="24"/>
        <v>0.40703273003504881</v>
      </c>
      <c r="N84">
        <f t="shared" si="27"/>
        <v>187.97031546800039</v>
      </c>
      <c r="O84">
        <f t="shared" si="28"/>
        <v>99.926535223604503</v>
      </c>
      <c r="P84">
        <f t="shared" si="29"/>
        <v>88.04378024439589</v>
      </c>
      <c r="Q84">
        <f t="shared" si="30"/>
        <v>187.97031546800039</v>
      </c>
      <c r="R84" s="4"/>
    </row>
    <row r="85" spans="2:18" x14ac:dyDescent="0.3">
      <c r="B85">
        <f t="shared" si="31"/>
        <v>0.71000000000000041</v>
      </c>
      <c r="C85">
        <f t="shared" si="19"/>
        <v>6.2973356056995833E-2</v>
      </c>
      <c r="D85" s="6">
        <f t="shared" si="17"/>
        <v>0.79166666666666663</v>
      </c>
      <c r="E85" s="6">
        <f t="shared" si="25"/>
        <v>0.375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246.91000000000005</v>
      </c>
      <c r="L85">
        <f t="shared" si="26"/>
        <v>145.67663799999991</v>
      </c>
      <c r="M85">
        <f t="shared" si="24"/>
        <v>0.40157456811648223</v>
      </c>
      <c r="N85">
        <f t="shared" si="27"/>
        <v>186.3293816241295</v>
      </c>
      <c r="O85">
        <f t="shared" si="28"/>
        <v>99.152776613640654</v>
      </c>
      <c r="P85">
        <f t="shared" si="29"/>
        <v>87.176605010488828</v>
      </c>
      <c r="Q85">
        <f t="shared" si="30"/>
        <v>186.3293816241295</v>
      </c>
      <c r="R85" s="4"/>
    </row>
    <row r="86" spans="2:18" x14ac:dyDescent="0.3">
      <c r="B86">
        <f t="shared" si="31"/>
        <v>0.72000000000000042</v>
      </c>
      <c r="C86">
        <f t="shared" si="19"/>
        <v>5.2153563078417231E-2</v>
      </c>
      <c r="D86" s="6">
        <f t="shared" si="17"/>
        <v>0.79166666666666663</v>
      </c>
      <c r="E86" s="6">
        <f t="shared" si="25"/>
        <v>0.375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248.34000000000006</v>
      </c>
      <c r="L86">
        <f t="shared" si="26"/>
        <v>142.75228799999985</v>
      </c>
      <c r="M86">
        <f t="shared" si="24"/>
        <v>0.39699504643870154</v>
      </c>
      <c r="N86">
        <f t="shared" si="27"/>
        <v>184.67008662879618</v>
      </c>
      <c r="O86">
        <f t="shared" si="28"/>
        <v>98.58974983258716</v>
      </c>
      <c r="P86">
        <f t="shared" si="29"/>
        <v>86.080336796209011</v>
      </c>
      <c r="Q86">
        <f t="shared" si="30"/>
        <v>184.67008662879618</v>
      </c>
      <c r="R86" s="4"/>
    </row>
    <row r="87" spans="2:18" x14ac:dyDescent="0.3">
      <c r="B87">
        <f t="shared" si="31"/>
        <v>0.73000000000000043</v>
      </c>
      <c r="C87">
        <f t="shared" si="19"/>
        <v>4.3107254941085693E-2</v>
      </c>
      <c r="D87" s="6">
        <f t="shared" si="17"/>
        <v>0.79166666666666663</v>
      </c>
      <c r="E87" s="6">
        <f t="shared" si="25"/>
        <v>0.375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249.79000000000008</v>
      </c>
      <c r="L87">
        <f t="shared" si="26"/>
        <v>139.70351799999986</v>
      </c>
      <c r="M87">
        <f t="shared" si="24"/>
        <v>0.39316920022103791</v>
      </c>
      <c r="N87">
        <f t="shared" si="27"/>
        <v>182.98613208308763</v>
      </c>
      <c r="O87">
        <f t="shared" si="28"/>
        <v>98.209734523213086</v>
      </c>
      <c r="P87">
        <f t="shared" si="29"/>
        <v>84.776397559874553</v>
      </c>
      <c r="Q87">
        <f t="shared" si="30"/>
        <v>182.98613208308763</v>
      </c>
      <c r="R87" s="4"/>
    </row>
    <row r="88" spans="2:18" x14ac:dyDescent="0.3">
      <c r="B88">
        <f t="shared" si="31"/>
        <v>0.74000000000000044</v>
      </c>
      <c r="C88">
        <f t="shared" si="19"/>
        <v>3.5571189272635917E-2</v>
      </c>
      <c r="D88" s="6">
        <f t="shared" si="17"/>
        <v>0.79166666666666663</v>
      </c>
      <c r="E88" s="6">
        <f t="shared" si="25"/>
        <v>0.375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251.26000000000005</v>
      </c>
      <c r="L88">
        <f t="shared" si="26"/>
        <v>136.52684799999986</v>
      </c>
      <c r="M88">
        <f t="shared" si="24"/>
        <v>0.38998444856155329</v>
      </c>
      <c r="N88">
        <f t="shared" si="27"/>
        <v>181.27099301444881</v>
      </c>
      <c r="O88">
        <f t="shared" si="28"/>
        <v>97.987492545575904</v>
      </c>
      <c r="P88">
        <f t="shared" si="29"/>
        <v>83.283500468872901</v>
      </c>
      <c r="Q88">
        <f t="shared" si="30"/>
        <v>181.27099301444881</v>
      </c>
      <c r="R88" s="4"/>
    </row>
    <row r="89" spans="2:18" x14ac:dyDescent="0.3">
      <c r="B89">
        <f t="shared" si="31"/>
        <v>0.75000000000000044</v>
      </c>
      <c r="C89">
        <f t="shared" si="19"/>
        <v>2.9312230751356028E-2</v>
      </c>
      <c r="D89" s="6">
        <f t="shared" si="17"/>
        <v>0.79166666666666663</v>
      </c>
      <c r="E89" s="6">
        <f t="shared" si="25"/>
        <v>0.375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252.75000000000006</v>
      </c>
      <c r="L89">
        <f t="shared" si="26"/>
        <v>133.21874999999983</v>
      </c>
      <c r="M89">
        <f t="shared" si="24"/>
        <v>0.38734127365464088</v>
      </c>
      <c r="N89">
        <f t="shared" si="27"/>
        <v>179.51813661653119</v>
      </c>
      <c r="O89">
        <f t="shared" si="28"/>
        <v>97.900506916210503</v>
      </c>
      <c r="P89">
        <f t="shared" si="29"/>
        <v>81.617629700320705</v>
      </c>
      <c r="Q89">
        <f t="shared" si="30"/>
        <v>179.51813661653119</v>
      </c>
      <c r="R89" s="4"/>
    </row>
    <row r="90" spans="2:18" x14ac:dyDescent="0.3">
      <c r="B90">
        <f t="shared" si="31"/>
        <v>0.76000000000000045</v>
      </c>
      <c r="C90">
        <f t="shared" si="19"/>
        <v>2.4127021417668981E-2</v>
      </c>
      <c r="D90" s="6">
        <f t="shared" si="17"/>
        <v>0.79166666666666663</v>
      </c>
      <c r="E90" s="6">
        <f t="shared" si="25"/>
        <v>0.375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254.26000000000008</v>
      </c>
      <c r="L90">
        <f t="shared" si="26"/>
        <v>129.77564799999985</v>
      </c>
      <c r="M90">
        <f t="shared" si="24"/>
        <v>0.38515300916863915</v>
      </c>
      <c r="N90">
        <f t="shared" si="27"/>
        <v>177.72117076720804</v>
      </c>
      <c r="O90">
        <f t="shared" si="28"/>
        <v>97.929004111218219</v>
      </c>
      <c r="P90">
        <f t="shared" si="29"/>
        <v>79.792166655989817</v>
      </c>
      <c r="Q90">
        <f t="shared" si="30"/>
        <v>177.72117076720804</v>
      </c>
      <c r="R90" s="4"/>
    </row>
    <row r="91" spans="2:18" x14ac:dyDescent="0.3">
      <c r="B91">
        <f t="shared" si="31"/>
        <v>0.77000000000000046</v>
      </c>
      <c r="C91">
        <f t="shared" si="19"/>
        <v>1.9840305734077246E-2</v>
      </c>
      <c r="D91" s="6">
        <f t="shared" si="17"/>
        <v>0.79166666666666663</v>
      </c>
      <c r="E91" s="6">
        <f t="shared" si="25"/>
        <v>0.375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255.79000000000008</v>
      </c>
      <c r="L91">
        <f t="shared" si="26"/>
        <v>126.19391799999983</v>
      </c>
      <c r="M91">
        <f t="shared" si="24"/>
        <v>0.38334507162947101</v>
      </c>
      <c r="N91">
        <f t="shared" si="27"/>
        <v>175.87393733718872</v>
      </c>
      <c r="O91">
        <f t="shared" si="28"/>
        <v>98.055835872102421</v>
      </c>
      <c r="P91">
        <f t="shared" si="29"/>
        <v>77.818101465086301</v>
      </c>
      <c r="Q91">
        <f t="shared" si="30"/>
        <v>175.87393733718872</v>
      </c>
      <c r="R91" s="4"/>
    </row>
    <row r="92" spans="2:18" x14ac:dyDescent="0.3">
      <c r="B92">
        <f t="shared" si="31"/>
        <v>0.78000000000000047</v>
      </c>
      <c r="C92">
        <f t="shared" si="19"/>
        <v>1.6302499371440682E-2</v>
      </c>
      <c r="D92" s="6">
        <f t="shared" si="17"/>
        <v>0.79166666666666663</v>
      </c>
      <c r="E92" s="6">
        <f t="shared" si="25"/>
        <v>0.375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257.34000000000009</v>
      </c>
      <c r="L92">
        <f t="shared" si="26"/>
        <v>122.46988799999983</v>
      </c>
      <c r="M92">
        <f t="shared" si="24"/>
        <v>0.38185388332425302</v>
      </c>
      <c r="N92">
        <f t="shared" si="27"/>
        <v>173.97056401157687</v>
      </c>
      <c r="O92">
        <f t="shared" si="28"/>
        <v>98.266278334663312</v>
      </c>
      <c r="P92">
        <f t="shared" si="29"/>
        <v>75.704285676913557</v>
      </c>
      <c r="Q92">
        <f t="shared" si="30"/>
        <v>173.97056401157687</v>
      </c>
      <c r="R92" s="4"/>
    </row>
    <row r="93" spans="2:18" x14ac:dyDescent="0.3">
      <c r="B93">
        <f t="shared" si="31"/>
        <v>0.79000000000000048</v>
      </c>
      <c r="C93">
        <f t="shared" si="19"/>
        <v>1.3386917827664657E-2</v>
      </c>
      <c r="D93" s="6">
        <f t="shared" si="17"/>
        <v>0.79166666666666663</v>
      </c>
      <c r="E93" s="6">
        <f t="shared" si="25"/>
        <v>0.375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258.91000000000008</v>
      </c>
      <c r="L93">
        <f t="shared" si="26"/>
        <v>118.59983799999981</v>
      </c>
      <c r="M93">
        <f t="shared" si="24"/>
        <v>0.38062566145898125</v>
      </c>
      <c r="N93">
        <f t="shared" si="27"/>
        <v>172.00548622066674</v>
      </c>
      <c r="O93">
        <f t="shared" si="28"/>
        <v>98.547790008344862</v>
      </c>
      <c r="P93">
        <f t="shared" si="29"/>
        <v>73.457696212321864</v>
      </c>
      <c r="Q93">
        <f t="shared" si="30"/>
        <v>172.00548622066674</v>
      </c>
      <c r="R93" s="4"/>
    </row>
    <row r="94" spans="2:18" x14ac:dyDescent="0.3">
      <c r="B94">
        <f t="shared" si="31"/>
        <v>0.80000000000000049</v>
      </c>
      <c r="C94">
        <f t="shared" si="19"/>
        <v>1.0986942630593188E-2</v>
      </c>
      <c r="D94" s="6">
        <f t="shared" si="17"/>
        <v>0.79166666666666663</v>
      </c>
      <c r="E94" s="6">
        <f t="shared" si="25"/>
        <v>0.375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260.50000000000011</v>
      </c>
      <c r="L94">
        <f t="shared" si="26"/>
        <v>114.5799999999998</v>
      </c>
      <c r="M94">
        <f t="shared" si="24"/>
        <v>0.37961518953069173</v>
      </c>
      <c r="N94">
        <f t="shared" si="27"/>
        <v>169.97344845631847</v>
      </c>
      <c r="O94">
        <f t="shared" si="28"/>
        <v>98.889756872745238</v>
      </c>
      <c r="P94">
        <f t="shared" si="29"/>
        <v>71.083691583573213</v>
      </c>
      <c r="Q94">
        <f t="shared" si="30"/>
        <v>169.97344845631847</v>
      </c>
      <c r="R94" s="7"/>
    </row>
    <row r="95" spans="2:18" x14ac:dyDescent="0.3">
      <c r="B95">
        <f t="shared" si="31"/>
        <v>0.8100000000000005</v>
      </c>
      <c r="C95">
        <f t="shared" si="19"/>
        <v>9.0132986528477232E-3</v>
      </c>
      <c r="D95" s="6">
        <f t="shared" si="17"/>
        <v>0.79166666666666663</v>
      </c>
      <c r="E95" s="6">
        <f t="shared" si="25"/>
        <v>0.375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262.11000000000007</v>
      </c>
      <c r="L95">
        <f t="shared" si="26"/>
        <v>110.40655799999979</v>
      </c>
      <c r="M95">
        <f t="shared" si="24"/>
        <v>0.37878464278350044</v>
      </c>
      <c r="N95">
        <f t="shared" si="27"/>
        <v>167.86949208699735</v>
      </c>
      <c r="O95">
        <f t="shared" si="28"/>
        <v>99.283242719983321</v>
      </c>
      <c r="P95">
        <f t="shared" si="29"/>
        <v>68.586249367014048</v>
      </c>
      <c r="Q95">
        <f t="shared" si="30"/>
        <v>167.86949208699735</v>
      </c>
      <c r="R95" s="4"/>
    </row>
    <row r="96" spans="2:18" x14ac:dyDescent="0.3">
      <c r="B96">
        <f t="shared" si="31"/>
        <v>0.82000000000000051</v>
      </c>
      <c r="C96">
        <f t="shared" si="19"/>
        <v>7.3915413442818823E-3</v>
      </c>
      <c r="D96" s="6">
        <f t="shared" si="17"/>
        <v>0.79166666666666663</v>
      </c>
      <c r="E96" s="6">
        <f t="shared" si="25"/>
        <v>0.375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263.74000000000007</v>
      </c>
      <c r="L96">
        <f t="shared" si="26"/>
        <v>106.07564799999979</v>
      </c>
      <c r="M96">
        <f t="shared" si="24"/>
        <v>0.37810250813913032</v>
      </c>
      <c r="N96">
        <f t="shared" si="27"/>
        <v>165.68893493533062</v>
      </c>
      <c r="O96">
        <f t="shared" si="28"/>
        <v>99.72075549661426</v>
      </c>
      <c r="P96">
        <f t="shared" si="29"/>
        <v>65.968179438716348</v>
      </c>
      <c r="Q96">
        <f t="shared" si="30"/>
        <v>165.68893493533062</v>
      </c>
      <c r="R96" s="4"/>
    </row>
    <row r="97" spans="2:18" x14ac:dyDescent="0.3">
      <c r="B97">
        <f t="shared" si="31"/>
        <v>0.83000000000000052</v>
      </c>
      <c r="C97">
        <f t="shared" si="19"/>
        <v>6.059801491584027E-3</v>
      </c>
      <c r="D97" s="6">
        <f t="shared" si="17"/>
        <v>0.79166666666666663</v>
      </c>
      <c r="E97" s="6">
        <f t="shared" si="25"/>
        <v>0.375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265.3900000000001</v>
      </c>
      <c r="L97">
        <f t="shared" si="26"/>
        <v>101.58335799999978</v>
      </c>
      <c r="M97">
        <f t="shared" si="24"/>
        <v>0.37754261752431223</v>
      </c>
      <c r="N97">
        <f t="shared" si="27"/>
        <v>163.42734638854785</v>
      </c>
      <c r="O97">
        <f t="shared" si="28"/>
        <v>100.19603526477727</v>
      </c>
      <c r="P97">
        <f t="shared" si="29"/>
        <v>63.231311123770581</v>
      </c>
      <c r="Q97">
        <f t="shared" si="30"/>
        <v>163.42734638854785</v>
      </c>
      <c r="R97" s="4"/>
    </row>
    <row r="98" spans="2:18" x14ac:dyDescent="0.3">
      <c r="B98">
        <f t="shared" si="31"/>
        <v>0.84000000000000052</v>
      </c>
      <c r="C98">
        <f t="shared" si="19"/>
        <v>4.9668016500568068E-3</v>
      </c>
      <c r="D98" s="6">
        <f t="shared" si="17"/>
        <v>0.79166666666666663</v>
      </c>
      <c r="E98" s="6">
        <f t="shared" si="25"/>
        <v>0.375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267.06000000000006</v>
      </c>
      <c r="L98">
        <f t="shared" si="26"/>
        <v>96.925727999999751</v>
      </c>
      <c r="M98">
        <f t="shared" si="24"/>
        <v>0.37708329956409348</v>
      </c>
      <c r="N98">
        <f t="shared" si="27"/>
        <v>161.08052065469482</v>
      </c>
      <c r="O98">
        <f t="shared" si="28"/>
        <v>100.70386598158683</v>
      </c>
      <c r="P98">
        <f t="shared" si="29"/>
        <v>60.376654673108</v>
      </c>
      <c r="Q98">
        <f t="shared" si="30"/>
        <v>161.08052065469482</v>
      </c>
      <c r="R98" s="4"/>
    </row>
    <row r="99" spans="2:18" x14ac:dyDescent="0.3">
      <c r="B99">
        <f t="shared" si="31"/>
        <v>0.85000000000000053</v>
      </c>
      <c r="C99">
        <f t="shared" si="19"/>
        <v>4.0701377158960383E-3</v>
      </c>
      <c r="D99" s="6">
        <f t="shared" si="17"/>
        <v>0.79166666666666663</v>
      </c>
      <c r="E99" s="6">
        <f t="shared" si="25"/>
        <v>0.375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268.75000000000011</v>
      </c>
      <c r="L99">
        <f t="shared" si="26"/>
        <v>92.09874999999974</v>
      </c>
      <c r="M99">
        <f t="shared" si="24"/>
        <v>0.37670664605564963</v>
      </c>
      <c r="N99">
        <f t="shared" si="27"/>
        <v>158.64444990903797</v>
      </c>
      <c r="O99">
        <f t="shared" si="28"/>
        <v>101.23991112745588</v>
      </c>
      <c r="P99">
        <f t="shared" si="29"/>
        <v>57.404538781582076</v>
      </c>
      <c r="Q99">
        <f t="shared" si="30"/>
        <v>158.64444990903797</v>
      </c>
      <c r="R99" s="4"/>
    </row>
    <row r="100" spans="2:18" x14ac:dyDescent="0.3">
      <c r="B100">
        <f t="shared" si="31"/>
        <v>0.86000000000000054</v>
      </c>
      <c r="C100">
        <f t="shared" si="19"/>
        <v>3.3348073074133122E-3</v>
      </c>
      <c r="D100" s="6">
        <f t="shared" si="17"/>
        <v>0.79166666666666663</v>
      </c>
      <c r="E100" s="6">
        <f t="shared" si="25"/>
        <v>0.375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270.46000000000009</v>
      </c>
      <c r="L100">
        <f t="shared" si="26"/>
        <v>87.098367999999724</v>
      </c>
      <c r="M100">
        <f t="shared" si="24"/>
        <v>0.37639788481550618</v>
      </c>
      <c r="N100">
        <f t="shared" si="27"/>
        <v>156.11529844111908</v>
      </c>
      <c r="O100">
        <f t="shared" si="28"/>
        <v>101.80057192720183</v>
      </c>
      <c r="P100">
        <f t="shared" si="29"/>
        <v>54.314726513917257</v>
      </c>
      <c r="Q100">
        <f t="shared" si="30"/>
        <v>156.11529844111908</v>
      </c>
      <c r="R100" s="4"/>
    </row>
    <row r="101" spans="2:18" x14ac:dyDescent="0.3">
      <c r="B101">
        <f t="shared" si="31"/>
        <v>0.87000000000000055</v>
      </c>
      <c r="C101">
        <f t="shared" si="19"/>
        <v>2.7319607630109655E-3</v>
      </c>
      <c r="D101" s="6">
        <f t="shared" si="17"/>
        <v>0.79166666666666663</v>
      </c>
      <c r="E101" s="6">
        <f t="shared" si="25"/>
        <v>0.375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272.19000000000011</v>
      </c>
      <c r="L101">
        <f t="shared" si="26"/>
        <v>81.920477999999719</v>
      </c>
      <c r="M101">
        <f t="shared" si="24"/>
        <v>0.37614484815747928</v>
      </c>
      <c r="N101">
        <f t="shared" si="27"/>
        <v>153.48937846168602</v>
      </c>
      <c r="O101">
        <f t="shared" si="28"/>
        <v>102.38286621998432</v>
      </c>
      <c r="P101">
        <f t="shared" si="29"/>
        <v>51.106512241701701</v>
      </c>
      <c r="Q101">
        <f t="shared" si="30"/>
        <v>153.48937846168602</v>
      </c>
      <c r="R101" s="4"/>
    </row>
    <row r="102" spans="2:18" x14ac:dyDescent="0.3">
      <c r="B102">
        <f t="shared" si="31"/>
        <v>0.88000000000000056</v>
      </c>
      <c r="C102">
        <f t="shared" si="19"/>
        <v>2.2378485212761756E-3</v>
      </c>
      <c r="D102" s="6">
        <f t="shared" si="17"/>
        <v>0.79166666666666663</v>
      </c>
      <c r="E102" s="6">
        <f t="shared" si="25"/>
        <v>0.375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273.94000000000011</v>
      </c>
      <c r="L102">
        <f t="shared" si="26"/>
        <v>76.560927999999691</v>
      </c>
      <c r="M102">
        <f t="shared" si="24"/>
        <v>0.37593752551225634</v>
      </c>
      <c r="N102">
        <f t="shared" si="27"/>
        <v>150.76312791558533</v>
      </c>
      <c r="O102">
        <f t="shared" si="28"/>
        <v>102.98432573882755</v>
      </c>
      <c r="P102">
        <f t="shared" si="29"/>
        <v>47.778802176757786</v>
      </c>
      <c r="Q102">
        <f t="shared" si="30"/>
        <v>150.76312791558533</v>
      </c>
      <c r="R102" s="4"/>
    </row>
    <row r="103" spans="2:18" x14ac:dyDescent="0.3">
      <c r="B103">
        <f t="shared" si="31"/>
        <v>0.89000000000000057</v>
      </c>
      <c r="C103">
        <f t="shared" si="19"/>
        <v>1.8329389424928122E-3</v>
      </c>
      <c r="D103" s="6">
        <f t="shared" si="17"/>
        <v>0.79166666666666663</v>
      </c>
      <c r="E103" s="6">
        <f t="shared" si="25"/>
        <v>0.375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275.71000000000009</v>
      </c>
      <c r="L103">
        <f t="shared" si="26"/>
        <v>71.015517999999673</v>
      </c>
      <c r="M103">
        <f t="shared" si="24"/>
        <v>0.37576768891800416</v>
      </c>
      <c r="N103">
        <f t="shared" si="27"/>
        <v>147.93309043540785</v>
      </c>
      <c r="O103">
        <f t="shared" si="28"/>
        <v>103.60290951158296</v>
      </c>
      <c r="P103">
        <f t="shared" si="29"/>
        <v>44.330180923824869</v>
      </c>
      <c r="Q103">
        <f t="shared" si="30"/>
        <v>147.93309043540785</v>
      </c>
      <c r="R103" s="4"/>
    </row>
    <row r="104" spans="2:18" x14ac:dyDescent="0.3">
      <c r="B104">
        <f t="shared" si="31"/>
        <v>0.90000000000000058</v>
      </c>
      <c r="C104">
        <f t="shared" si="19"/>
        <v>1.5011822567370103E-3</v>
      </c>
      <c r="D104" s="6">
        <f t="shared" si="17"/>
        <v>0.79166666666666663</v>
      </c>
      <c r="E104" s="6">
        <f t="shared" si="25"/>
        <v>0.375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277.50000000000011</v>
      </c>
      <c r="L104">
        <f t="shared" si="26"/>
        <v>65.27999999999966</v>
      </c>
      <c r="M104">
        <f t="shared" si="24"/>
        <v>0.37562858087318191</v>
      </c>
      <c r="N104">
        <f t="shared" si="27"/>
        <v>144.9958974329065</v>
      </c>
      <c r="O104">
        <f t="shared" si="28"/>
        <v>104.23693119230802</v>
      </c>
      <c r="P104">
        <f t="shared" si="29"/>
        <v>40.758966240598475</v>
      </c>
      <c r="Q104">
        <f t="shared" si="30"/>
        <v>144.9958974329065</v>
      </c>
      <c r="R104" s="4"/>
    </row>
    <row r="105" spans="2:18" x14ac:dyDescent="0.3">
      <c r="B105">
        <f t="shared" si="31"/>
        <v>0.91000000000000059</v>
      </c>
      <c r="C105">
        <f t="shared" si="19"/>
        <v>1.2293986212773556E-3</v>
      </c>
      <c r="D105" s="6">
        <f t="shared" si="17"/>
        <v>0.79166666666666663</v>
      </c>
      <c r="E105" s="6">
        <f t="shared" si="25"/>
        <v>0.375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279.31000000000012</v>
      </c>
      <c r="L105">
        <f t="shared" si="26"/>
        <v>59.350077999999655</v>
      </c>
      <c r="M105">
        <f t="shared" si="24"/>
        <v>0.37551465507202381</v>
      </c>
      <c r="N105">
        <f t="shared" si="27"/>
        <v>141.94825223949908</v>
      </c>
      <c r="O105">
        <f t="shared" si="28"/>
        <v>104.88499830816701</v>
      </c>
      <c r="P105">
        <f t="shared" si="29"/>
        <v>37.063253931332071</v>
      </c>
      <c r="Q105">
        <f t="shared" si="30"/>
        <v>141.94825223949908</v>
      </c>
      <c r="R105" s="4"/>
    </row>
    <row r="106" spans="2:18" x14ac:dyDescent="0.3">
      <c r="B106">
        <f t="shared" si="31"/>
        <v>0.9200000000000006</v>
      </c>
      <c r="C106">
        <f t="shared" si="19"/>
        <v>1.0067708200856007E-3</v>
      </c>
      <c r="D106" s="6">
        <f t="shared" si="17"/>
        <v>0.79166666666666663</v>
      </c>
      <c r="E106" s="6">
        <f t="shared" si="25"/>
        <v>0.375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281.1400000000001</v>
      </c>
      <c r="L106">
        <f t="shared" si="26"/>
        <v>53.221407999999656</v>
      </c>
      <c r="M106">
        <f t="shared" si="24"/>
        <v>0.3754213616658339</v>
      </c>
      <c r="N106">
        <f t="shared" si="27"/>
        <v>138.78691615759945</v>
      </c>
      <c r="O106">
        <f t="shared" si="28"/>
        <v>105.54596161873258</v>
      </c>
      <c r="P106">
        <f t="shared" si="29"/>
        <v>33.240954538866873</v>
      </c>
      <c r="Q106">
        <f t="shared" si="30"/>
        <v>138.78691615759945</v>
      </c>
      <c r="R106" s="4"/>
    </row>
    <row r="107" spans="2:18" x14ac:dyDescent="0.3">
      <c r="B107">
        <f t="shared" si="31"/>
        <v>0.9300000000000006</v>
      </c>
      <c r="C107">
        <f t="shared" si="19"/>
        <v>8.2442468639831734E-4</v>
      </c>
      <c r="D107" s="6">
        <f t="shared" si="17"/>
        <v>0.79166666666666663</v>
      </c>
      <c r="E107" s="6">
        <f t="shared" si="25"/>
        <v>0.375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282.99000000000012</v>
      </c>
      <c r="L107">
        <f t="shared" si="26"/>
        <v>46.889597999999637</v>
      </c>
      <c r="M107">
        <f t="shared" si="24"/>
        <v>0.37534496980446203</v>
      </c>
      <c r="N107">
        <f t="shared" si="27"/>
        <v>135.50869625951117</v>
      </c>
      <c r="O107">
        <f t="shared" si="28"/>
        <v>106.21887300496475</v>
      </c>
      <c r="P107">
        <f t="shared" si="29"/>
        <v>29.289823254546413</v>
      </c>
      <c r="Q107">
        <f t="shared" si="30"/>
        <v>135.50869625951117</v>
      </c>
      <c r="R107" s="4"/>
    </row>
    <row r="108" spans="2:18" x14ac:dyDescent="0.3">
      <c r="B108">
        <f t="shared" si="31"/>
        <v>0.94000000000000061</v>
      </c>
      <c r="C108">
        <f t="shared" si="19"/>
        <v>6.7508273063277002E-4</v>
      </c>
      <c r="D108" s="6">
        <f t="shared" si="17"/>
        <v>0.79166666666666663</v>
      </c>
      <c r="E108" s="6">
        <f t="shared" si="25"/>
        <v>0.375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284.86000000000013</v>
      </c>
      <c r="L108">
        <f t="shared" si="26"/>
        <v>40.350207999999583</v>
      </c>
      <c r="M108">
        <f t="shared" si="24"/>
        <v>0.37528242125316696</v>
      </c>
      <c r="N108">
        <f t="shared" si="27"/>
        <v>132.11043476186802</v>
      </c>
      <c r="O108">
        <f t="shared" si="28"/>
        <v>106.90295051817719</v>
      </c>
      <c r="P108">
        <f t="shared" si="29"/>
        <v>25.207484243690836</v>
      </c>
      <c r="Q108">
        <f t="shared" si="30"/>
        <v>132.11043476186802</v>
      </c>
      <c r="R108" s="4"/>
    </row>
    <row r="109" spans="2:18" x14ac:dyDescent="0.3">
      <c r="B109">
        <f t="shared" si="31"/>
        <v>0.95000000000000062</v>
      </c>
      <c r="C109">
        <f t="shared" si="19"/>
        <v>5.5277863692360096E-4</v>
      </c>
      <c r="D109" s="6">
        <f t="shared" si="17"/>
        <v>0.79166666666666663</v>
      </c>
      <c r="E109" s="6">
        <f t="shared" si="25"/>
        <v>0.375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286.75000000000011</v>
      </c>
      <c r="L109">
        <f t="shared" si="26"/>
        <v>33.598749999999569</v>
      </c>
      <c r="M109">
        <f t="shared" si="24"/>
        <v>0.37523120982127772</v>
      </c>
      <c r="N109">
        <f t="shared" si="27"/>
        <v>128.58899980526849</v>
      </c>
      <c r="O109">
        <f t="shared" si="28"/>
        <v>107.59754941625143</v>
      </c>
      <c r="P109">
        <f t="shared" si="29"/>
        <v>20.991450389017075</v>
      </c>
      <c r="Q109">
        <f t="shared" si="30"/>
        <v>128.58899980526849</v>
      </c>
      <c r="R109" s="4"/>
    </row>
    <row r="110" spans="2:18" x14ac:dyDescent="0.3">
      <c r="B110">
        <f t="shared" si="31"/>
        <v>0.96000000000000063</v>
      </c>
      <c r="C110">
        <f t="shared" si="19"/>
        <v>4.5262222324049528E-4</v>
      </c>
      <c r="D110" s="6">
        <f t="shared" si="17"/>
        <v>0.79166666666666663</v>
      </c>
      <c r="E110" s="6">
        <f t="shared" si="25"/>
        <v>0.375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288.66000000000014</v>
      </c>
      <c r="L110">
        <f t="shared" si="26"/>
        <v>26.630687999999566</v>
      </c>
      <c r="M110">
        <f t="shared" si="24"/>
        <v>0.37518928216994085</v>
      </c>
      <c r="N110">
        <f t="shared" si="27"/>
        <v>124.94127747676325</v>
      </c>
      <c r="O110">
        <f t="shared" si="28"/>
        <v>108.30213819117517</v>
      </c>
      <c r="P110">
        <f t="shared" si="29"/>
        <v>16.639139285588072</v>
      </c>
      <c r="Q110">
        <f t="shared" si="30"/>
        <v>124.94127747676325</v>
      </c>
      <c r="R110" s="4"/>
    </row>
    <row r="111" spans="2:18" x14ac:dyDescent="0.3">
      <c r="B111">
        <f t="shared" si="31"/>
        <v>0.97000000000000064</v>
      </c>
      <c r="C111">
        <f t="shared" si="19"/>
        <v>3.7060614062645048E-4</v>
      </c>
      <c r="D111" s="6">
        <f t="shared" si="17"/>
        <v>0.79166666666666663</v>
      </c>
      <c r="E111" s="6">
        <f t="shared" si="25"/>
        <v>0.375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290.59000000000015</v>
      </c>
      <c r="L111">
        <f t="shared" si="26"/>
        <v>19.441437999999494</v>
      </c>
      <c r="M111">
        <f t="shared" si="24"/>
        <v>0.37515495628718798</v>
      </c>
      <c r="N111">
        <f t="shared" si="27"/>
        <v>121.16416492444363</v>
      </c>
      <c r="O111">
        <f t="shared" si="28"/>
        <v>109.01627874749401</v>
      </c>
      <c r="P111">
        <f t="shared" si="29"/>
        <v>12.147886176949608</v>
      </c>
      <c r="Q111">
        <f t="shared" si="30"/>
        <v>121.16416492444363</v>
      </c>
      <c r="R111" s="4"/>
    </row>
    <row r="112" spans="2:18" x14ac:dyDescent="0.3">
      <c r="B112">
        <f t="shared" si="31"/>
        <v>0.98000000000000065</v>
      </c>
      <c r="C112">
        <f t="shared" si="19"/>
        <v>3.03447030028825E-4</v>
      </c>
      <c r="D112" s="6">
        <f t="shared" si="17"/>
        <v>0.79166666666666663</v>
      </c>
      <c r="E112" s="6">
        <f t="shared" si="25"/>
        <v>0.375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292.54000000000013</v>
      </c>
      <c r="L112">
        <f t="shared" si="26"/>
        <v>12.026367999999508</v>
      </c>
      <c r="M112">
        <f t="shared" si="24"/>
        <v>0.37512685453620248</v>
      </c>
      <c r="N112">
        <f t="shared" si="27"/>
        <v>117.25456442668558</v>
      </c>
      <c r="O112">
        <f t="shared" si="28"/>
        <v>109.73961002602073</v>
      </c>
      <c r="P112">
        <f t="shared" si="29"/>
        <v>7.514954400664851</v>
      </c>
      <c r="Q112">
        <f t="shared" si="30"/>
        <v>117.25456442668558</v>
      </c>
      <c r="R112" s="4"/>
    </row>
    <row r="113" spans="2:18" x14ac:dyDescent="0.3">
      <c r="B113">
        <f t="shared" si="31"/>
        <v>0.99000000000000066</v>
      </c>
      <c r="C113">
        <f t="shared" si="19"/>
        <v>2.4845508183946041E-4</v>
      </c>
      <c r="D113" s="6">
        <f t="shared" si="17"/>
        <v>0.79166666666666663</v>
      </c>
      <c r="E113" s="6">
        <f t="shared" si="25"/>
        <v>0.375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294.5100000000001</v>
      </c>
      <c r="L113">
        <f t="shared" si="26"/>
        <v>4.380797999999487</v>
      </c>
      <c r="M113">
        <f t="shared" si="24"/>
        <v>0.37510384870674007</v>
      </c>
      <c r="N113">
        <f t="shared" si="27"/>
        <v>113.20937829241495</v>
      </c>
      <c r="O113">
        <f t="shared" si="28"/>
        <v>110.47183448262206</v>
      </c>
      <c r="P113">
        <f t="shared" si="29"/>
        <v>2.7375438097928901</v>
      </c>
      <c r="Q113">
        <f t="shared" si="30"/>
        <v>113.20937829241495</v>
      </c>
      <c r="R113" s="4"/>
    </row>
    <row r="114" spans="2:18" x14ac:dyDescent="0.3">
      <c r="B114">
        <f t="shared" si="31"/>
        <v>1.0000000000000007</v>
      </c>
      <c r="C114">
        <f t="shared" si="19"/>
        <v>2.0342697805519894E-4</v>
      </c>
      <c r="D114" s="6">
        <f t="shared" si="17"/>
        <v>0.79166666666666663</v>
      </c>
      <c r="E114" s="6">
        <f t="shared" si="25"/>
        <v>0.375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296.50000000000011</v>
      </c>
      <c r="L114">
        <f t="shared" si="26"/>
        <v>-3.50000000000054</v>
      </c>
      <c r="M114">
        <f t="shared" si="24"/>
        <v>0.37508501494104968</v>
      </c>
      <c r="N114">
        <f t="shared" si="27"/>
        <v>109.0255044823146</v>
      </c>
      <c r="O114">
        <f t="shared" si="28"/>
        <v>111.21270693002127</v>
      </c>
      <c r="P114">
        <f t="shared" si="29"/>
        <v>-2.1872024477066638</v>
      </c>
      <c r="Q114">
        <f t="shared" si="30"/>
        <v>109.0255044823146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0607-BFA9-42BA-8E79-0CC9DCF0BCCE}">
  <dimension ref="B1:R1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20</v>
      </c>
      <c r="C4" s="12">
        <v>50</v>
      </c>
      <c r="D4" s="12">
        <v>10</v>
      </c>
      <c r="E4" s="12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0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20</v>
      </c>
      <c r="C10" s="5">
        <f t="shared" ref="C10:E10" si="0">C4+C7</f>
        <v>50</v>
      </c>
      <c r="D10" s="5">
        <f t="shared" si="0"/>
        <v>10</v>
      </c>
      <c r="E10" s="5">
        <f t="shared" si="0"/>
        <v>30</v>
      </c>
      <c r="G10" s="10">
        <f>F7-0.5*D7-E7</f>
        <v>200</v>
      </c>
      <c r="K10" s="1">
        <v>1</v>
      </c>
      <c r="M10" s="1">
        <v>0.4</v>
      </c>
      <c r="N10" s="1">
        <v>0.65</v>
      </c>
      <c r="Q10" s="2" t="s">
        <v>22</v>
      </c>
      <c r="R10" s="9">
        <f>MAX(Q14:Q114)</f>
        <v>203.14940368092616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0.99997246430888542</v>
      </c>
      <c r="D14" s="6">
        <f t="shared" ref="D14:D77" si="1">$D$10/($D$10+$B$10)</f>
        <v>0.33333333333333331</v>
      </c>
      <c r="E14" s="6">
        <f>$E$10/($E$10+$C$10)</f>
        <v>0.375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200</v>
      </c>
      <c r="L14">
        <f>$G$10+I14</f>
        <v>200</v>
      </c>
      <c r="M14">
        <f>C14*D14^(1-EXP(-5*B14))+(1-C14)*E14</f>
        <v>0.99998279019305336</v>
      </c>
      <c r="N14" s="3">
        <f>M14*K14+(1-M14)*L14</f>
        <v>200</v>
      </c>
      <c r="O14">
        <f>K14*M14</f>
        <v>199.99655803861066</v>
      </c>
      <c r="P14">
        <f>(1-M14)*L14</f>
        <v>3.4419613893277301E-3</v>
      </c>
      <c r="Q14">
        <f>P14+O14</f>
        <v>200</v>
      </c>
    </row>
    <row r="15" spans="2:18" x14ac:dyDescent="0.3">
      <c r="B15">
        <v>0.01</v>
      </c>
      <c r="C15">
        <f t="shared" ref="C15:C78" si="3">1-1/(1+EXP(-20*(B15-(($N$10+$M$10)/2))))</f>
        <v>0.99996636803596128</v>
      </c>
      <c r="D15" s="6">
        <f>$D$10/($D$10+$B$10)</f>
        <v>0.33333333333333331</v>
      </c>
      <c r="E15" s="6">
        <f>$E$10/($E$10+$C$10)</f>
        <v>0.375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200.01</v>
      </c>
      <c r="L15">
        <f>$G$10+I15</f>
        <v>199.99999800000001</v>
      </c>
      <c r="M15">
        <f t="shared" ref="M15:M78" si="8">C15*D15^(1-EXP(-5*B15))+(1-C15)*E15</f>
        <v>0.94781089016731435</v>
      </c>
      <c r="N15">
        <f>M15*K15+(1-M15)*L15</f>
        <v>200.00947800452343</v>
      </c>
      <c r="O15">
        <f>K15*M15</f>
        <v>189.57165614236453</v>
      </c>
      <c r="P15">
        <f>(1-M15)*L15</f>
        <v>10.437821862158911</v>
      </c>
      <c r="Q15">
        <f>P15+O15</f>
        <v>200.00947800452343</v>
      </c>
      <c r="R15" s="4"/>
    </row>
    <row r="16" spans="2:18" x14ac:dyDescent="0.3">
      <c r="B16">
        <f>B15+0.01</f>
        <v>0.02</v>
      </c>
      <c r="C16">
        <f t="shared" si="3"/>
        <v>0.99995892213223525</v>
      </c>
      <c r="D16" s="6">
        <f t="shared" si="1"/>
        <v>0.33333333333333331</v>
      </c>
      <c r="E16" s="6">
        <f t="shared" ref="E16:E79" si="9">$E$10/($E$10+$C$10)</f>
        <v>0.375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200.04</v>
      </c>
      <c r="L16">
        <f t="shared" ref="L16:L79" si="10">$G$10+I16</f>
        <v>199.999968</v>
      </c>
      <c r="M16">
        <f t="shared" si="8"/>
        <v>0.9007110623990241</v>
      </c>
      <c r="N16">
        <f t="shared" ref="N16:N79" si="11">M16*K16+(1-M16)*L16</f>
        <v>200.03602526524995</v>
      </c>
      <c r="O16">
        <f t="shared" ref="O16:O79" si="12">K16*M16</f>
        <v>180.17824092230077</v>
      </c>
      <c r="P16">
        <f t="shared" ref="P16:P79" si="13">(1-M16)*L16</f>
        <v>19.857784342949177</v>
      </c>
      <c r="Q16">
        <f t="shared" ref="Q16:Q79" si="14">P16+O16</f>
        <v>200.03602526524995</v>
      </c>
      <c r="R16" s="4"/>
    </row>
    <row r="17" spans="2:18" x14ac:dyDescent="0.3">
      <c r="B17">
        <f t="shared" ref="B17:B80" si="15">B16+0.01</f>
        <v>0.03</v>
      </c>
      <c r="C17">
        <f t="shared" si="3"/>
        <v>0.99994982783531627</v>
      </c>
      <c r="D17" s="6">
        <f t="shared" si="1"/>
        <v>0.33333333333333331</v>
      </c>
      <c r="E17" s="6">
        <f t="shared" si="9"/>
        <v>0.375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200.09</v>
      </c>
      <c r="L17">
        <f t="shared" si="10"/>
        <v>199.99983800000001</v>
      </c>
      <c r="M17">
        <f t="shared" si="8"/>
        <v>0.8580815171401126</v>
      </c>
      <c r="N17">
        <f t="shared" si="11"/>
        <v>200.07720434574838</v>
      </c>
      <c r="O17">
        <f t="shared" si="12"/>
        <v>171.69353076456514</v>
      </c>
      <c r="P17">
        <f t="shared" si="13"/>
        <v>28.383673581183256</v>
      </c>
      <c r="Q17">
        <f t="shared" si="14"/>
        <v>200.07720434574838</v>
      </c>
      <c r="R17" s="4"/>
    </row>
    <row r="18" spans="2:18" x14ac:dyDescent="0.3">
      <c r="B18">
        <f t="shared" si="15"/>
        <v>0.04</v>
      </c>
      <c r="C18">
        <f t="shared" si="3"/>
        <v>0.99993872026038344</v>
      </c>
      <c r="D18" s="6">
        <f t="shared" si="1"/>
        <v>0.33333333333333331</v>
      </c>
      <c r="E18" s="6">
        <f t="shared" si="9"/>
        <v>0.375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200.16</v>
      </c>
      <c r="L18">
        <f t="shared" si="10"/>
        <v>199.99948800000001</v>
      </c>
      <c r="M18">
        <f t="shared" si="8"/>
        <v>0.81940414213414137</v>
      </c>
      <c r="N18">
        <f t="shared" si="11"/>
        <v>200.13101219766224</v>
      </c>
      <c r="O18">
        <f t="shared" si="12"/>
        <v>164.01193308956974</v>
      </c>
      <c r="P18">
        <f t="shared" si="13"/>
        <v>36.1190791080925</v>
      </c>
      <c r="Q18">
        <f t="shared" si="14"/>
        <v>200.13101219766224</v>
      </c>
      <c r="R18" s="4"/>
    </row>
    <row r="19" spans="2:18" x14ac:dyDescent="0.3">
      <c r="B19">
        <f t="shared" si="15"/>
        <v>0.05</v>
      </c>
      <c r="C19">
        <f t="shared" si="3"/>
        <v>0.99992515377248936</v>
      </c>
      <c r="D19" s="6">
        <f t="shared" si="1"/>
        <v>0.33333333333333331</v>
      </c>
      <c r="E19" s="6">
        <f t="shared" si="9"/>
        <v>0.375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200.25</v>
      </c>
      <c r="L19">
        <f t="shared" si="10"/>
        <v>199.99875</v>
      </c>
      <c r="M19">
        <f t="shared" si="8"/>
        <v>0.78423133128740263</v>
      </c>
      <c r="N19">
        <f t="shared" si="11"/>
        <v>200.19578812198597</v>
      </c>
      <c r="O19">
        <f t="shared" si="12"/>
        <v>157.04232409030237</v>
      </c>
      <c r="P19">
        <f t="shared" si="13"/>
        <v>43.153464031683583</v>
      </c>
      <c r="Q19">
        <f t="shared" si="14"/>
        <v>200.19578812198597</v>
      </c>
      <c r="R19" s="4"/>
    </row>
    <row r="20" spans="2:18" x14ac:dyDescent="0.3">
      <c r="B20">
        <f t="shared" si="15"/>
        <v>6.0000000000000005E-2</v>
      </c>
      <c r="C20">
        <f t="shared" si="3"/>
        <v>0.9999085841261478</v>
      </c>
      <c r="D20" s="6">
        <f t="shared" si="1"/>
        <v>0.33333333333333331</v>
      </c>
      <c r="E20" s="6">
        <f t="shared" si="9"/>
        <v>0.375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200.36</v>
      </c>
      <c r="L20">
        <f t="shared" si="10"/>
        <v>199.99740800000001</v>
      </c>
      <c r="M20">
        <f t="shared" si="8"/>
        <v>0.75217510404746468</v>
      </c>
      <c r="N20">
        <f t="shared" si="11"/>
        <v>200.27014067532679</v>
      </c>
      <c r="O20">
        <f t="shared" si="12"/>
        <v>150.70580384695003</v>
      </c>
      <c r="P20">
        <f t="shared" si="13"/>
        <v>49.564336828376753</v>
      </c>
      <c r="Q20">
        <f t="shared" si="14"/>
        <v>200.27014067532679</v>
      </c>
      <c r="R20" s="4"/>
    </row>
    <row r="21" spans="2:18" x14ac:dyDescent="0.3">
      <c r="B21">
        <f t="shared" si="15"/>
        <v>7.0000000000000007E-2</v>
      </c>
      <c r="C21">
        <f t="shared" si="3"/>
        <v>0.99988834665937043</v>
      </c>
      <c r="D21" s="6">
        <f t="shared" si="1"/>
        <v>0.33333333333333331</v>
      </c>
      <c r="E21" s="6">
        <f t="shared" si="9"/>
        <v>0.375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200.49</v>
      </c>
      <c r="L21">
        <f t="shared" si="10"/>
        <v>199.99519799999999</v>
      </c>
      <c r="M21">
        <f t="shared" si="8"/>
        <v>0.72289808222277374</v>
      </c>
      <c r="N21">
        <f t="shared" si="11"/>
        <v>200.35288941688</v>
      </c>
      <c r="O21">
        <f t="shared" si="12"/>
        <v>144.93383650484392</v>
      </c>
      <c r="P21">
        <f t="shared" si="13"/>
        <v>55.419052912036079</v>
      </c>
      <c r="Q21">
        <f t="shared" si="14"/>
        <v>200.35288941688</v>
      </c>
      <c r="R21" s="4"/>
    </row>
    <row r="22" spans="2:18" x14ac:dyDescent="0.3">
      <c r="B22">
        <f t="shared" si="15"/>
        <v>0.08</v>
      </c>
      <c r="C22">
        <f t="shared" si="3"/>
        <v>0.99986362967292053</v>
      </c>
      <c r="D22" s="6">
        <f t="shared" si="1"/>
        <v>0.33333333333333331</v>
      </c>
      <c r="E22" s="6">
        <f t="shared" si="9"/>
        <v>0.375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200.64</v>
      </c>
      <c r="L22">
        <f t="shared" si="10"/>
        <v>199.99180799999999</v>
      </c>
      <c r="M22">
        <f t="shared" si="8"/>
        <v>0.69610597905999194</v>
      </c>
      <c r="N22">
        <f t="shared" si="11"/>
        <v>200.44301832677883</v>
      </c>
      <c r="O22">
        <f t="shared" si="12"/>
        <v>139.66670363859677</v>
      </c>
      <c r="P22">
        <f t="shared" si="13"/>
        <v>60.776314688182069</v>
      </c>
      <c r="Q22">
        <f t="shared" si="14"/>
        <v>200.44301832677883</v>
      </c>
      <c r="R22" s="4"/>
    </row>
    <row r="23" spans="2:18" x14ac:dyDescent="0.3">
      <c r="B23">
        <f t="shared" si="15"/>
        <v>0.09</v>
      </c>
      <c r="C23">
        <f t="shared" si="3"/>
        <v>0.99983344193522261</v>
      </c>
      <c r="D23" s="6">
        <f t="shared" si="1"/>
        <v>0.33333333333333331</v>
      </c>
      <c r="E23" s="6">
        <f t="shared" si="9"/>
        <v>0.375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200.81</v>
      </c>
      <c r="L23">
        <f t="shared" si="10"/>
        <v>199.98687799999999</v>
      </c>
      <c r="M23">
        <f t="shared" si="8"/>
        <v>0.67154132440362213</v>
      </c>
      <c r="N23">
        <f t="shared" si="11"/>
        <v>200.53963843802575</v>
      </c>
      <c r="O23">
        <f t="shared" si="12"/>
        <v>134.85221335349135</v>
      </c>
      <c r="P23">
        <f t="shared" si="13"/>
        <v>65.687425084534397</v>
      </c>
      <c r="Q23">
        <f t="shared" si="14"/>
        <v>200.53963843802575</v>
      </c>
      <c r="R23" s="4"/>
    </row>
    <row r="24" spans="2:18" x14ac:dyDescent="0.3">
      <c r="B24">
        <f t="shared" si="15"/>
        <v>9.9999999999999992E-2</v>
      </c>
      <c r="C24">
        <f t="shared" si="3"/>
        <v>0.9997965730219448</v>
      </c>
      <c r="D24" s="6">
        <f t="shared" si="1"/>
        <v>0.33333333333333331</v>
      </c>
      <c r="E24" s="6">
        <f t="shared" si="9"/>
        <v>0.375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201</v>
      </c>
      <c r="L24">
        <f t="shared" si="10"/>
        <v>199.98</v>
      </c>
      <c r="M24">
        <f t="shared" si="8"/>
        <v>0.64897820406553841</v>
      </c>
      <c r="N24">
        <f t="shared" si="11"/>
        <v>200.64195776814682</v>
      </c>
      <c r="O24">
        <f t="shared" si="12"/>
        <v>130.44461901717321</v>
      </c>
      <c r="P24">
        <f t="shared" si="13"/>
        <v>70.197338750973628</v>
      </c>
      <c r="Q24">
        <f t="shared" si="14"/>
        <v>200.64195776814682</v>
      </c>
      <c r="R24" s="4"/>
    </row>
    <row r="25" spans="2:18" x14ac:dyDescent="0.3">
      <c r="B25">
        <f t="shared" si="15"/>
        <v>0.10999999999999999</v>
      </c>
      <c r="C25">
        <f t="shared" si="3"/>
        <v>0.99975154491816065</v>
      </c>
      <c r="D25" s="6">
        <f t="shared" si="1"/>
        <v>0.33333333333333331</v>
      </c>
      <c r="E25" s="6">
        <f t="shared" si="9"/>
        <v>0.375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201.21</v>
      </c>
      <c r="L25">
        <f t="shared" si="10"/>
        <v>199.97071800000001</v>
      </c>
      <c r="M25">
        <f t="shared" si="8"/>
        <v>0.62821783444773338</v>
      </c>
      <c r="N25">
        <f t="shared" si="11"/>
        <v>200.74925705431008</v>
      </c>
      <c r="O25">
        <f t="shared" si="12"/>
        <v>126.40371046922844</v>
      </c>
      <c r="P25">
        <f t="shared" si="13"/>
        <v>74.345546585081621</v>
      </c>
      <c r="Q25">
        <f t="shared" si="14"/>
        <v>200.74925705431008</v>
      </c>
      <c r="R25" s="4"/>
    </row>
    <row r="26" spans="2:18" x14ac:dyDescent="0.3">
      <c r="B26">
        <f t="shared" si="15"/>
        <v>0.11999999999999998</v>
      </c>
      <c r="C26">
        <f t="shared" si="3"/>
        <v>0.99969655296997106</v>
      </c>
      <c r="D26" s="6">
        <f t="shared" si="1"/>
        <v>0.33333333333333331</v>
      </c>
      <c r="E26" s="6">
        <f t="shared" si="9"/>
        <v>0.375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201.44</v>
      </c>
      <c r="L26">
        <f t="shared" si="10"/>
        <v>199.958528</v>
      </c>
      <c r="M26">
        <f t="shared" si="8"/>
        <v>0.60908482752002413</v>
      </c>
      <c r="N26">
        <f t="shared" si="11"/>
        <v>200.86087011759574</v>
      </c>
      <c r="O26">
        <f t="shared" si="12"/>
        <v>122.69404765563365</v>
      </c>
      <c r="P26">
        <f t="shared" si="13"/>
        <v>78.166822461962084</v>
      </c>
      <c r="Q26">
        <f t="shared" si="14"/>
        <v>200.86087011759574</v>
      </c>
      <c r="R26" s="4"/>
    </row>
    <row r="27" spans="2:18" x14ac:dyDescent="0.3">
      <c r="B27">
        <f t="shared" si="15"/>
        <v>0.12999999999999998</v>
      </c>
      <c r="C27">
        <f t="shared" si="3"/>
        <v>0.99962939385937355</v>
      </c>
      <c r="D27" s="6">
        <f t="shared" si="1"/>
        <v>0.33333333333333331</v>
      </c>
      <c r="E27" s="6">
        <f t="shared" si="9"/>
        <v>0.375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201.69</v>
      </c>
      <c r="L27">
        <f t="shared" si="10"/>
        <v>199.94287800000001</v>
      </c>
      <c r="M27">
        <f t="shared" si="8"/>
        <v>0.59142402839418728</v>
      </c>
      <c r="N27">
        <f t="shared" si="11"/>
        <v>200.97616793133611</v>
      </c>
      <c r="O27">
        <f t="shared" si="12"/>
        <v>119.28431228682363</v>
      </c>
      <c r="P27">
        <f t="shared" si="13"/>
        <v>81.691855644512472</v>
      </c>
      <c r="Q27">
        <f t="shared" si="14"/>
        <v>200.97616793133611</v>
      </c>
      <c r="R27" s="4"/>
    </row>
    <row r="28" spans="2:18" x14ac:dyDescent="0.3">
      <c r="B28">
        <f t="shared" si="15"/>
        <v>0.13999999999999999</v>
      </c>
      <c r="C28">
        <f t="shared" si="3"/>
        <v>0.9995473777767595</v>
      </c>
      <c r="D28" s="6">
        <f t="shared" si="1"/>
        <v>0.33333333333333331</v>
      </c>
      <c r="E28" s="6">
        <f t="shared" si="9"/>
        <v>0.375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201.96</v>
      </c>
      <c r="L28">
        <f t="shared" si="10"/>
        <v>199.923168</v>
      </c>
      <c r="M28">
        <f t="shared" si="8"/>
        <v>0.57509782944901555</v>
      </c>
      <c r="N28">
        <f t="shared" si="11"/>
        <v>201.09454566215231</v>
      </c>
      <c r="O28">
        <f t="shared" si="12"/>
        <v>116.14675763552319</v>
      </c>
      <c r="P28">
        <f t="shared" si="13"/>
        <v>84.947788026629112</v>
      </c>
      <c r="Q28">
        <f t="shared" si="14"/>
        <v>201.09454566215231</v>
      </c>
      <c r="R28" s="4"/>
    </row>
    <row r="29" spans="2:18" x14ac:dyDescent="0.3">
      <c r="B29">
        <f t="shared" si="15"/>
        <v>0.15</v>
      </c>
      <c r="C29">
        <f t="shared" si="3"/>
        <v>0.9994472213630764</v>
      </c>
      <c r="D29" s="6">
        <f t="shared" si="1"/>
        <v>0.33333333333333331</v>
      </c>
      <c r="E29" s="6">
        <f t="shared" si="9"/>
        <v>0.375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202.25</v>
      </c>
      <c r="L29">
        <f t="shared" si="10"/>
        <v>199.89875000000001</v>
      </c>
      <c r="M29">
        <f t="shared" si="8"/>
        <v>0.55998388240051311</v>
      </c>
      <c r="N29">
        <f t="shared" si="11"/>
        <v>201.2154121034942</v>
      </c>
      <c r="O29">
        <f t="shared" si="12"/>
        <v>113.25674021550378</v>
      </c>
      <c r="P29">
        <f t="shared" si="13"/>
        <v>87.958671887990434</v>
      </c>
      <c r="Q29">
        <f t="shared" si="14"/>
        <v>201.2154121034942</v>
      </c>
      <c r="R29" s="4"/>
    </row>
    <row r="30" spans="2:18" x14ac:dyDescent="0.3">
      <c r="B30">
        <f t="shared" si="15"/>
        <v>0.16</v>
      </c>
      <c r="C30">
        <f t="shared" si="3"/>
        <v>0.99932491726936712</v>
      </c>
      <c r="D30" s="6">
        <f t="shared" si="1"/>
        <v>0.33333333333333331</v>
      </c>
      <c r="E30" s="6">
        <f t="shared" si="9"/>
        <v>0.375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202.56</v>
      </c>
      <c r="L30">
        <f t="shared" si="10"/>
        <v>199.86892800000001</v>
      </c>
      <c r="M30">
        <f t="shared" si="8"/>
        <v>0.54597314377337081</v>
      </c>
      <c r="N30">
        <f t="shared" si="11"/>
        <v>201.33818103996049</v>
      </c>
      <c r="O30">
        <f t="shared" si="12"/>
        <v>110.592320002734</v>
      </c>
      <c r="P30">
        <f t="shared" si="13"/>
        <v>90.745861037226504</v>
      </c>
      <c r="Q30">
        <f t="shared" si="14"/>
        <v>201.33818103996049</v>
      </c>
      <c r="R30" s="4"/>
    </row>
    <row r="31" spans="2:18" x14ac:dyDescent="0.3">
      <c r="B31">
        <f t="shared" si="15"/>
        <v>0.17</v>
      </c>
      <c r="C31">
        <f t="shared" si="3"/>
        <v>0.99917557531360168</v>
      </c>
      <c r="D31" s="6">
        <f t="shared" si="1"/>
        <v>0.33333333333333331</v>
      </c>
      <c r="E31" s="6">
        <f t="shared" si="9"/>
        <v>0.375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202.89</v>
      </c>
      <c r="L31">
        <f t="shared" si="10"/>
        <v>199.83295799999999</v>
      </c>
      <c r="M31">
        <f t="shared" si="8"/>
        <v>0.53296820061225991</v>
      </c>
      <c r="N31">
        <f t="shared" si="11"/>
        <v>201.46226417393609</v>
      </c>
      <c r="O31">
        <f t="shared" si="12"/>
        <v>108.13391822222141</v>
      </c>
      <c r="P31">
        <f t="shared" si="13"/>
        <v>93.328345951714681</v>
      </c>
      <c r="Q31">
        <f t="shared" si="14"/>
        <v>201.46226417393609</v>
      </c>
      <c r="R31" s="4"/>
    </row>
    <row r="32" spans="2:18" x14ac:dyDescent="0.3">
      <c r="B32">
        <f t="shared" si="15"/>
        <v>0.18000000000000002</v>
      </c>
      <c r="C32">
        <f t="shared" si="3"/>
        <v>0.9989932291799144</v>
      </c>
      <c r="D32" s="6">
        <f t="shared" si="1"/>
        <v>0.33333333333333331</v>
      </c>
      <c r="E32" s="6">
        <f t="shared" si="9"/>
        <v>0.375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203.24</v>
      </c>
      <c r="L32">
        <f t="shared" si="10"/>
        <v>199.79004800000001</v>
      </c>
      <c r="M32">
        <f t="shared" si="8"/>
        <v>0.52088183252119702</v>
      </c>
      <c r="N32">
        <f t="shared" si="11"/>
        <v>201.58706531987019</v>
      </c>
      <c r="O32">
        <f t="shared" si="12"/>
        <v>105.86402364160809</v>
      </c>
      <c r="P32">
        <f t="shared" si="13"/>
        <v>95.723041678262092</v>
      </c>
      <c r="Q32">
        <f t="shared" si="14"/>
        <v>201.58706531987019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0.99877060137872253</v>
      </c>
      <c r="D33" s="6">
        <f t="shared" si="1"/>
        <v>0.33333333333333331</v>
      </c>
      <c r="E33" s="6">
        <f t="shared" si="9"/>
        <v>0.375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203.61</v>
      </c>
      <c r="L33">
        <f t="shared" si="10"/>
        <v>199.73935800000001</v>
      </c>
      <c r="M33">
        <f t="shared" si="8"/>
        <v>0.50963577366633284</v>
      </c>
      <c r="N33">
        <f t="shared" si="11"/>
        <v>201.71197563025541</v>
      </c>
      <c r="O33">
        <f t="shared" si="12"/>
        <v>103.76693987620203</v>
      </c>
      <c r="P33">
        <f t="shared" si="13"/>
        <v>97.945035754053379</v>
      </c>
      <c r="Q33">
        <f t="shared" si="14"/>
        <v>201.71197563025541</v>
      </c>
      <c r="R33" s="4"/>
    </row>
    <row r="34" spans="2:18" x14ac:dyDescent="0.3">
      <c r="B34">
        <f t="shared" si="15"/>
        <v>0.20000000000000004</v>
      </c>
      <c r="C34">
        <f t="shared" si="3"/>
        <v>0.99849881774326299</v>
      </c>
      <c r="D34" s="6">
        <f t="shared" si="1"/>
        <v>0.33333333333333331</v>
      </c>
      <c r="E34" s="6">
        <f t="shared" si="9"/>
        <v>0.375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204</v>
      </c>
      <c r="L34">
        <f t="shared" si="10"/>
        <v>199.68</v>
      </c>
      <c r="M34">
        <f t="shared" si="8"/>
        <v>0.49915964456181061</v>
      </c>
      <c r="N34">
        <f t="shared" si="11"/>
        <v>201.836369664507</v>
      </c>
      <c r="O34">
        <f t="shared" si="12"/>
        <v>101.82856749060936</v>
      </c>
      <c r="P34">
        <f t="shared" si="13"/>
        <v>100.00780217389766</v>
      </c>
      <c r="Q34">
        <f t="shared" si="14"/>
        <v>201.836369664507</v>
      </c>
      <c r="R34" s="4"/>
    </row>
    <row r="35" spans="2:18" x14ac:dyDescent="0.3">
      <c r="B35">
        <f t="shared" si="15"/>
        <v>0.21000000000000005</v>
      </c>
      <c r="C35">
        <f t="shared" si="3"/>
        <v>0.99816706105750719</v>
      </c>
      <c r="D35" s="6">
        <f t="shared" si="1"/>
        <v>0.33333333333333331</v>
      </c>
      <c r="E35" s="6">
        <f t="shared" si="9"/>
        <v>0.375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204.41</v>
      </c>
      <c r="L35">
        <f t="shared" si="10"/>
        <v>199.61103800000001</v>
      </c>
      <c r="M35">
        <f t="shared" si="8"/>
        <v>0.48939002854947306</v>
      </c>
      <c r="N35">
        <f t="shared" si="11"/>
        <v>201.95960215018783</v>
      </c>
      <c r="O35">
        <f t="shared" si="12"/>
        <v>100.03621573579778</v>
      </c>
      <c r="P35">
        <f t="shared" si="13"/>
        <v>101.92338641439007</v>
      </c>
      <c r="Q35">
        <f t="shared" si="14"/>
        <v>201.95960215018783</v>
      </c>
      <c r="R35" s="4"/>
    </row>
    <row r="36" spans="2:18" x14ac:dyDescent="0.3">
      <c r="B36">
        <f t="shared" si="15"/>
        <v>0.22000000000000006</v>
      </c>
      <c r="C36">
        <f t="shared" si="3"/>
        <v>0.99776215147872371</v>
      </c>
      <c r="D36" s="6">
        <f t="shared" si="1"/>
        <v>0.33333333333333331</v>
      </c>
      <c r="E36" s="6">
        <f t="shared" si="9"/>
        <v>0.375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204.84</v>
      </c>
      <c r="L36">
        <f t="shared" si="10"/>
        <v>199.531488</v>
      </c>
      <c r="M36">
        <f t="shared" si="8"/>
        <v>0.48026967209625054</v>
      </c>
      <c r="N36">
        <f t="shared" si="11"/>
        <v>202.081005317559</v>
      </c>
      <c r="O36">
        <f t="shared" si="12"/>
        <v>98.378439632195963</v>
      </c>
      <c r="P36">
        <f t="shared" si="13"/>
        <v>103.70256568536306</v>
      </c>
      <c r="Q36">
        <f t="shared" si="14"/>
        <v>202.081005317559</v>
      </c>
      <c r="R36" s="4"/>
    </row>
    <row r="37" spans="2:18" x14ac:dyDescent="0.3">
      <c r="B37">
        <f t="shared" si="15"/>
        <v>0.23000000000000007</v>
      </c>
      <c r="C37">
        <f t="shared" si="3"/>
        <v>0.99726803923698892</v>
      </c>
      <c r="D37" s="6">
        <f t="shared" si="1"/>
        <v>0.33333333333333331</v>
      </c>
      <c r="E37" s="6">
        <f t="shared" si="9"/>
        <v>0.375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205.29</v>
      </c>
      <c r="L37">
        <f t="shared" si="10"/>
        <v>199.44031799999999</v>
      </c>
      <c r="M37">
        <f t="shared" si="8"/>
        <v>0.47174679154036708</v>
      </c>
      <c r="N37">
        <f t="shared" si="11"/>
        <v>202.19988671503143</v>
      </c>
      <c r="O37">
        <f t="shared" si="12"/>
        <v>96.844898835321956</v>
      </c>
      <c r="P37">
        <f t="shared" si="13"/>
        <v>105.35498787970948</v>
      </c>
      <c r="Q37">
        <f t="shared" si="14"/>
        <v>202.19988671503143</v>
      </c>
      <c r="R37" s="4"/>
    </row>
    <row r="38" spans="2:18" x14ac:dyDescent="0.3">
      <c r="B38">
        <f t="shared" si="15"/>
        <v>0.24000000000000007</v>
      </c>
      <c r="C38">
        <f t="shared" si="3"/>
        <v>0.99666519269258669</v>
      </c>
      <c r="D38" s="6">
        <f t="shared" si="1"/>
        <v>0.33333333333333331</v>
      </c>
      <c r="E38" s="6">
        <f t="shared" si="9"/>
        <v>0.375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205.76</v>
      </c>
      <c r="L38">
        <f t="shared" si="10"/>
        <v>199.33644799999999</v>
      </c>
      <c r="M38">
        <f t="shared" si="8"/>
        <v>0.46377447185782594</v>
      </c>
      <c r="N38">
        <f t="shared" si="11"/>
        <v>202.31552743625127</v>
      </c>
      <c r="O38">
        <f t="shared" si="12"/>
        <v>95.426235329466266</v>
      </c>
      <c r="P38">
        <f t="shared" si="13"/>
        <v>106.88929210678501</v>
      </c>
      <c r="Q38">
        <f t="shared" si="14"/>
        <v>202.31552743625127</v>
      </c>
      <c r="R38" s="4"/>
    </row>
    <row r="39" spans="2:18" x14ac:dyDescent="0.3">
      <c r="B39">
        <f t="shared" si="15"/>
        <v>0.25000000000000006</v>
      </c>
      <c r="C39">
        <f t="shared" si="3"/>
        <v>0.99592986228410385</v>
      </c>
      <c r="D39" s="6">
        <f t="shared" si="1"/>
        <v>0.33333333333333331</v>
      </c>
      <c r="E39" s="6">
        <f t="shared" si="9"/>
        <v>0.375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206.25</v>
      </c>
      <c r="L39">
        <f t="shared" si="10"/>
        <v>199.21875</v>
      </c>
      <c r="M39">
        <f t="shared" si="8"/>
        <v>0.45631014550609655</v>
      </c>
      <c r="N39">
        <f t="shared" si="11"/>
        <v>202.42718071058977</v>
      </c>
      <c r="O39">
        <f t="shared" si="12"/>
        <v>94.11396751063242</v>
      </c>
      <c r="P39">
        <f t="shared" si="13"/>
        <v>108.31321319995733</v>
      </c>
      <c r="Q39">
        <f t="shared" si="14"/>
        <v>202.42718071058977</v>
      </c>
      <c r="R39" s="4"/>
    </row>
    <row r="40" spans="2:18" x14ac:dyDescent="0.3">
      <c r="B40">
        <f t="shared" si="15"/>
        <v>0.26000000000000006</v>
      </c>
      <c r="C40">
        <f t="shared" si="3"/>
        <v>0.99503319834994308</v>
      </c>
      <c r="D40" s="6">
        <f t="shared" si="1"/>
        <v>0.33333333333333331</v>
      </c>
      <c r="E40" s="6">
        <f t="shared" si="9"/>
        <v>0.375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206.76</v>
      </c>
      <c r="L40">
        <f t="shared" si="10"/>
        <v>199.08604800000001</v>
      </c>
      <c r="M40">
        <f t="shared" si="8"/>
        <v>0.44931514152319135</v>
      </c>
      <c r="N40">
        <f t="shared" si="11"/>
        <v>202.53407082892221</v>
      </c>
      <c r="O40">
        <f t="shared" si="12"/>
        <v>92.900398661335046</v>
      </c>
      <c r="P40">
        <f t="shared" si="13"/>
        <v>109.63367216758715</v>
      </c>
      <c r="Q40">
        <f t="shared" si="14"/>
        <v>202.53407082892221</v>
      </c>
      <c r="R40" s="4"/>
    </row>
    <row r="41" spans="2:18" x14ac:dyDescent="0.3">
      <c r="B41">
        <f t="shared" si="15"/>
        <v>0.27000000000000007</v>
      </c>
      <c r="C41">
        <f t="shared" si="3"/>
        <v>0.99394019850841586</v>
      </c>
      <c r="D41" s="6">
        <f t="shared" si="1"/>
        <v>0.33333333333333331</v>
      </c>
      <c r="E41" s="6">
        <f t="shared" si="9"/>
        <v>0.375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207.29</v>
      </c>
      <c r="L41">
        <f t="shared" si="10"/>
        <v>198.937118</v>
      </c>
      <c r="M41">
        <f t="shared" si="8"/>
        <v>0.4427542968902044</v>
      </c>
      <c r="N41">
        <f t="shared" si="11"/>
        <v>202.63539239691684</v>
      </c>
      <c r="O41">
        <f t="shared" si="12"/>
        <v>91.77853820237047</v>
      </c>
      <c r="P41">
        <f t="shared" si="13"/>
        <v>110.85685419454637</v>
      </c>
      <c r="Q41">
        <f t="shared" si="14"/>
        <v>202.63539239691684</v>
      </c>
      <c r="R41" s="4"/>
    </row>
    <row r="42" spans="2:18" x14ac:dyDescent="0.3">
      <c r="B42">
        <f t="shared" si="15"/>
        <v>0.28000000000000008</v>
      </c>
      <c r="C42">
        <f t="shared" si="3"/>
        <v>0.99260845865571801</v>
      </c>
      <c r="D42" s="6">
        <f t="shared" si="1"/>
        <v>0.33333333333333331</v>
      </c>
      <c r="E42" s="6">
        <f t="shared" si="9"/>
        <v>0.375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207.84</v>
      </c>
      <c r="L42">
        <f t="shared" si="10"/>
        <v>198.77068800000001</v>
      </c>
      <c r="M42">
        <f t="shared" si="8"/>
        <v>0.43659562376105415</v>
      </c>
      <c r="N42">
        <f t="shared" si="11"/>
        <v>202.7303099297236</v>
      </c>
      <c r="O42">
        <f t="shared" si="12"/>
        <v>90.742034442497499</v>
      </c>
      <c r="P42">
        <f t="shared" si="13"/>
        <v>111.9882754872261</v>
      </c>
      <c r="Q42">
        <f t="shared" si="14"/>
        <v>202.7303099297236</v>
      </c>
      <c r="R42" s="4"/>
    </row>
    <row r="43" spans="2:18" x14ac:dyDescent="0.3">
      <c r="B43">
        <f t="shared" si="15"/>
        <v>0.29000000000000009</v>
      </c>
      <c r="C43">
        <f t="shared" si="3"/>
        <v>0.99098670134715217</v>
      </c>
      <c r="D43" s="6">
        <f t="shared" si="1"/>
        <v>0.33333333333333331</v>
      </c>
      <c r="E43" s="6">
        <f t="shared" si="9"/>
        <v>0.375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208.41</v>
      </c>
      <c r="L43">
        <f t="shared" si="10"/>
        <v>198.58543800000001</v>
      </c>
      <c r="M43">
        <f t="shared" si="8"/>
        <v>0.43081002756687981</v>
      </c>
      <c r="N43">
        <f t="shared" si="11"/>
        <v>202.81795782605252</v>
      </c>
      <c r="O43">
        <f t="shared" si="12"/>
        <v>89.785117845213421</v>
      </c>
      <c r="P43">
        <f t="shared" si="13"/>
        <v>113.0328399808391</v>
      </c>
      <c r="Q43">
        <f t="shared" si="14"/>
        <v>202.81795782605252</v>
      </c>
      <c r="R43" s="4"/>
    </row>
    <row r="44" spans="2:18" x14ac:dyDescent="0.3">
      <c r="B44">
        <f t="shared" si="15"/>
        <v>0.3000000000000001</v>
      </c>
      <c r="C44">
        <f t="shared" si="3"/>
        <v>0.98901305736940681</v>
      </c>
      <c r="D44" s="6">
        <f t="shared" si="1"/>
        <v>0.33333333333333331</v>
      </c>
      <c r="E44" s="6">
        <f t="shared" si="9"/>
        <v>0.375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209</v>
      </c>
      <c r="L44">
        <f t="shared" si="10"/>
        <v>198.38</v>
      </c>
      <c r="M44">
        <f t="shared" si="8"/>
        <v>0.42537107224059661</v>
      </c>
      <c r="N44">
        <f t="shared" si="11"/>
        <v>202.89744078719514</v>
      </c>
      <c r="O44">
        <f t="shared" si="12"/>
        <v>88.902554098284696</v>
      </c>
      <c r="P44">
        <f t="shared" si="13"/>
        <v>113.99488668891046</v>
      </c>
      <c r="Q44">
        <f t="shared" si="14"/>
        <v>202.89744078719514</v>
      </c>
      <c r="R44" s="4"/>
    </row>
    <row r="45" spans="2:18" x14ac:dyDescent="0.3">
      <c r="B45">
        <f t="shared" si="15"/>
        <v>0.31000000000000011</v>
      </c>
      <c r="C45">
        <f t="shared" si="3"/>
        <v>0.98661308217233523</v>
      </c>
      <c r="D45" s="6">
        <f t="shared" si="1"/>
        <v>0.33333333333333331</v>
      </c>
      <c r="E45" s="6">
        <f t="shared" si="9"/>
        <v>0.375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209.61</v>
      </c>
      <c r="L45">
        <f t="shared" si="10"/>
        <v>198.15295799999998</v>
      </c>
      <c r="M45">
        <f t="shared" si="8"/>
        <v>0.42025478988698889</v>
      </c>
      <c r="N45">
        <f t="shared" si="11"/>
        <v>202.96783477843641</v>
      </c>
      <c r="O45">
        <f t="shared" si="12"/>
        <v>88.089606508211745</v>
      </c>
      <c r="P45">
        <f t="shared" si="13"/>
        <v>114.87822827022467</v>
      </c>
      <c r="Q45">
        <f t="shared" si="14"/>
        <v>202.96783477843641</v>
      </c>
      <c r="R45" s="7"/>
    </row>
    <row r="46" spans="2:18" x14ac:dyDescent="0.3">
      <c r="B46">
        <f t="shared" si="15"/>
        <v>0.32000000000000012</v>
      </c>
      <c r="C46">
        <f t="shared" si="3"/>
        <v>0.98369750062855899</v>
      </c>
      <c r="D46" s="6">
        <f t="shared" si="1"/>
        <v>0.33333333333333331</v>
      </c>
      <c r="E46" s="6">
        <f t="shared" si="9"/>
        <v>0.375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210.24</v>
      </c>
      <c r="L46">
        <f t="shared" si="10"/>
        <v>197.90284800000001</v>
      </c>
      <c r="M46">
        <f t="shared" si="8"/>
        <v>0.41543953312857251</v>
      </c>
      <c r="N46">
        <f t="shared" si="11"/>
        <v>203.02818866701625</v>
      </c>
      <c r="O46">
        <f t="shared" si="12"/>
        <v>87.342007444951093</v>
      </c>
      <c r="P46">
        <f t="shared" si="13"/>
        <v>115.68618122206516</v>
      </c>
      <c r="Q46">
        <f t="shared" si="14"/>
        <v>203.02818866701625</v>
      </c>
      <c r="R46" s="4"/>
    </row>
    <row r="47" spans="2:18" x14ac:dyDescent="0.3">
      <c r="B47">
        <f t="shared" si="15"/>
        <v>0.33000000000000013</v>
      </c>
      <c r="C47">
        <f t="shared" si="3"/>
        <v>0.98015969426592242</v>
      </c>
      <c r="D47" s="6">
        <f t="shared" si="1"/>
        <v>0.33333333333333331</v>
      </c>
      <c r="E47" s="6">
        <f t="shared" si="9"/>
        <v>0.375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210.89000000000001</v>
      </c>
      <c r="L47">
        <f t="shared" si="10"/>
        <v>197.62815799999998</v>
      </c>
      <c r="M47">
        <f t="shared" si="8"/>
        <v>0.41090586903785947</v>
      </c>
      <c r="N47">
        <f t="shared" si="11"/>
        <v>203.07752671205276</v>
      </c>
      <c r="O47">
        <f t="shared" si="12"/>
        <v>86.655938721394193</v>
      </c>
      <c r="P47">
        <f t="shared" si="13"/>
        <v>116.42158799065858</v>
      </c>
      <c r="Q47">
        <f t="shared" si="14"/>
        <v>203.07752671205276</v>
      </c>
      <c r="R47" s="4"/>
    </row>
    <row r="48" spans="2:18" x14ac:dyDescent="0.3">
      <c r="B48">
        <f t="shared" si="15"/>
        <v>0.34000000000000014</v>
      </c>
      <c r="C48">
        <f t="shared" si="3"/>
        <v>0.9758729785823308</v>
      </c>
      <c r="D48" s="6">
        <f t="shared" si="1"/>
        <v>0.33333333333333331</v>
      </c>
      <c r="E48" s="6">
        <f t="shared" si="9"/>
        <v>0.375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211.56</v>
      </c>
      <c r="L48">
        <f t="shared" si="10"/>
        <v>197.32732799999999</v>
      </c>
      <c r="M48">
        <f t="shared" si="8"/>
        <v>0.40663651392910605</v>
      </c>
      <c r="N48">
        <f t="shared" si="11"/>
        <v>203.1148521259764</v>
      </c>
      <c r="O48">
        <f t="shared" si="12"/>
        <v>86.028020886841674</v>
      </c>
      <c r="P48">
        <f t="shared" si="13"/>
        <v>117.08683123913472</v>
      </c>
      <c r="Q48">
        <f t="shared" si="14"/>
        <v>203.1148521259764</v>
      </c>
      <c r="R48" s="4"/>
    </row>
    <row r="49" spans="2:18" x14ac:dyDescent="0.3">
      <c r="B49">
        <f t="shared" si="15"/>
        <v>0.35000000000000014</v>
      </c>
      <c r="C49">
        <f t="shared" si="3"/>
        <v>0.97068776924864364</v>
      </c>
      <c r="D49" s="6">
        <f t="shared" si="1"/>
        <v>0.33333333333333331</v>
      </c>
      <c r="E49" s="6">
        <f t="shared" si="9"/>
        <v>0.375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212.25</v>
      </c>
      <c r="L49">
        <f t="shared" si="10"/>
        <v>196.99875</v>
      </c>
      <c r="M49">
        <f t="shared" si="8"/>
        <v>0.40261630817550542</v>
      </c>
      <c r="N49">
        <f t="shared" si="11"/>
        <v>203.13915197006168</v>
      </c>
      <c r="O49">
        <f t="shared" si="12"/>
        <v>85.455311410251028</v>
      </c>
      <c r="P49">
        <f t="shared" si="13"/>
        <v>117.68384055981065</v>
      </c>
      <c r="Q49">
        <f t="shared" si="14"/>
        <v>203.13915197006168</v>
      </c>
      <c r="R49" s="4"/>
    </row>
    <row r="50" spans="2:18" x14ac:dyDescent="0.3">
      <c r="B50" s="13">
        <f t="shared" si="15"/>
        <v>0.36000000000000015</v>
      </c>
      <c r="C50" s="13">
        <f t="shared" si="3"/>
        <v>0.96442881072736375</v>
      </c>
      <c r="D50" s="14">
        <f t="shared" si="1"/>
        <v>0.33333333333333331</v>
      </c>
      <c r="E50" s="14">
        <f t="shared" si="9"/>
        <v>0.375</v>
      </c>
      <c r="F50" s="15">
        <f t="shared" si="4"/>
        <v>6.4800000000000052E-2</v>
      </c>
      <c r="G50" s="15">
        <f t="shared" si="5"/>
        <v>-1.6796160000000025E-2</v>
      </c>
      <c r="H50" s="13">
        <f t="shared" si="16"/>
        <v>12.96000000000001</v>
      </c>
      <c r="I50" s="13">
        <f t="shared" si="16"/>
        <v>-3.3592320000000049</v>
      </c>
      <c r="J50" s="13">
        <f t="shared" si="6"/>
        <v>9.6007680000000057</v>
      </c>
      <c r="K50" s="13">
        <f t="shared" si="7"/>
        <v>212.96</v>
      </c>
      <c r="L50" s="13">
        <f t="shared" si="10"/>
        <v>196.64076800000001</v>
      </c>
      <c r="M50" s="13">
        <f t="shared" si="8"/>
        <v>0.39883222941656621</v>
      </c>
      <c r="N50" s="13">
        <f t="shared" si="11"/>
        <v>203.14940368092616</v>
      </c>
      <c r="O50" s="13">
        <f t="shared" si="12"/>
        <v>84.935311576551939</v>
      </c>
      <c r="P50" s="13">
        <f t="shared" si="13"/>
        <v>118.21409210437422</v>
      </c>
      <c r="Q50" s="13">
        <f t="shared" si="14"/>
        <v>203.14940368092616</v>
      </c>
      <c r="R50" s="4"/>
    </row>
    <row r="51" spans="2:18" x14ac:dyDescent="0.3">
      <c r="B51">
        <f t="shared" si="15"/>
        <v>0.37000000000000016</v>
      </c>
      <c r="C51">
        <f t="shared" si="3"/>
        <v>0.95689274505891375</v>
      </c>
      <c r="D51" s="6">
        <f t="shared" si="1"/>
        <v>0.33333333333333331</v>
      </c>
      <c r="E51" s="6">
        <f t="shared" si="9"/>
        <v>0.375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213.69000000000003</v>
      </c>
      <c r="L51">
        <f t="shared" si="10"/>
        <v>196.251678</v>
      </c>
      <c r="M51">
        <f t="shared" si="8"/>
        <v>0.39527344071757808</v>
      </c>
      <c r="N51">
        <f t="shared" si="11"/>
        <v>203.14458353728105</v>
      </c>
      <c r="O51">
        <f t="shared" si="12"/>
        <v>84.465981546939275</v>
      </c>
      <c r="P51">
        <f t="shared" si="13"/>
        <v>118.67860199034178</v>
      </c>
      <c r="Q51">
        <f t="shared" si="14"/>
        <v>203.14458353728105</v>
      </c>
      <c r="R51" s="7"/>
    </row>
    <row r="52" spans="2:18" x14ac:dyDescent="0.3">
      <c r="B52">
        <f t="shared" si="15"/>
        <v>0.38000000000000017</v>
      </c>
      <c r="C52">
        <f t="shared" si="3"/>
        <v>0.9478464369215821</v>
      </c>
      <c r="D52" s="6">
        <f t="shared" si="1"/>
        <v>0.33333333333333331</v>
      </c>
      <c r="E52" s="6">
        <f t="shared" si="9"/>
        <v>0.375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214.44000000000003</v>
      </c>
      <c r="L52">
        <f t="shared" si="10"/>
        <v>195.82972799999999</v>
      </c>
      <c r="M52">
        <f t="shared" si="8"/>
        <v>0.39193136705268256</v>
      </c>
      <c r="N52">
        <f t="shared" si="11"/>
        <v>203.12367734618226</v>
      </c>
      <c r="O52">
        <f t="shared" si="12"/>
        <v>84.045762350777252</v>
      </c>
      <c r="P52">
        <f t="shared" si="13"/>
        <v>119.07791499540502</v>
      </c>
      <c r="Q52">
        <f t="shared" si="14"/>
        <v>203.12367734618226</v>
      </c>
      <c r="R52" s="4"/>
    </row>
    <row r="53" spans="2:18" x14ac:dyDescent="0.3">
      <c r="B53">
        <f t="shared" si="15"/>
        <v>0.39000000000000018</v>
      </c>
      <c r="C53">
        <f t="shared" si="3"/>
        <v>0.93702664394300328</v>
      </c>
      <c r="D53" s="6">
        <f t="shared" si="1"/>
        <v>0.33333333333333331</v>
      </c>
      <c r="E53" s="6">
        <f t="shared" si="9"/>
        <v>0.375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215.21</v>
      </c>
      <c r="L53">
        <f t="shared" si="10"/>
        <v>195.37311799999998</v>
      </c>
      <c r="M53">
        <f t="shared" si="8"/>
        <v>0.388799788478632</v>
      </c>
      <c r="N53">
        <f t="shared" si="11"/>
        <v>203.08569352567557</v>
      </c>
      <c r="O53">
        <f t="shared" si="12"/>
        <v>83.673602478486401</v>
      </c>
      <c r="P53">
        <f t="shared" si="13"/>
        <v>119.41209104718916</v>
      </c>
      <c r="Q53">
        <f t="shared" si="14"/>
        <v>203.08569352567557</v>
      </c>
      <c r="R53" s="4"/>
    </row>
    <row r="54" spans="2:18" x14ac:dyDescent="0.3">
      <c r="B54">
        <f t="shared" si="15"/>
        <v>0.40000000000000019</v>
      </c>
      <c r="C54">
        <f t="shared" si="3"/>
        <v>0.92414181997875622</v>
      </c>
      <c r="D54" s="6">
        <f t="shared" si="1"/>
        <v>0.33333333333333331</v>
      </c>
      <c r="E54" s="6">
        <f t="shared" si="9"/>
        <v>0.375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216</v>
      </c>
      <c r="L54">
        <f t="shared" si="10"/>
        <v>194.88</v>
      </c>
      <c r="M54">
        <f t="shared" si="8"/>
        <v>0.38587493117950927</v>
      </c>
      <c r="N54">
        <f t="shared" si="11"/>
        <v>203.02967854651121</v>
      </c>
      <c r="O54">
        <f t="shared" si="12"/>
        <v>83.348985134773997</v>
      </c>
      <c r="P54">
        <f t="shared" si="13"/>
        <v>119.68069341173722</v>
      </c>
      <c r="Q54">
        <f t="shared" si="14"/>
        <v>203.02967854651121</v>
      </c>
      <c r="R54" s="4"/>
    </row>
    <row r="55" spans="2:18" x14ac:dyDescent="0.3">
      <c r="B55">
        <f t="shared" si="15"/>
        <v>0.4100000000000002</v>
      </c>
      <c r="C55">
        <f t="shared" si="3"/>
        <v>0.90887703898514349</v>
      </c>
      <c r="D55" s="6">
        <f t="shared" si="1"/>
        <v>0.33333333333333331</v>
      </c>
      <c r="E55" s="6">
        <f t="shared" si="9"/>
        <v>0.375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216.81</v>
      </c>
      <c r="L55">
        <f t="shared" si="10"/>
        <v>194.348478</v>
      </c>
      <c r="M55">
        <f t="shared" si="8"/>
        <v>0.38315552807936437</v>
      </c>
      <c r="N55">
        <f t="shared" si="11"/>
        <v>202.95473432337627</v>
      </c>
      <c r="O55">
        <f t="shared" si="12"/>
        <v>83.071950042886996</v>
      </c>
      <c r="P55">
        <f t="shared" si="13"/>
        <v>119.88278428048928</v>
      </c>
      <c r="Q55">
        <f t="shared" si="14"/>
        <v>202.95473432337627</v>
      </c>
      <c r="R55" s="7"/>
    </row>
    <row r="56" spans="2:18" x14ac:dyDescent="0.3">
      <c r="B56">
        <f t="shared" si="15"/>
        <v>0.42000000000000021</v>
      </c>
      <c r="C56">
        <f t="shared" si="3"/>
        <v>0.89090317880438663</v>
      </c>
      <c r="D56" s="6">
        <f t="shared" si="1"/>
        <v>0.33333333333333331</v>
      </c>
      <c r="E56" s="6">
        <f t="shared" si="9"/>
        <v>0.375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217.64000000000001</v>
      </c>
      <c r="L56">
        <f t="shared" si="10"/>
        <v>193.77660799999998</v>
      </c>
      <c r="M56">
        <f t="shared" si="8"/>
        <v>0.38064280940699174</v>
      </c>
      <c r="N56">
        <f t="shared" si="11"/>
        <v>202.86003657286031</v>
      </c>
      <c r="O56">
        <f t="shared" si="12"/>
        <v>82.843101039337682</v>
      </c>
      <c r="P56">
        <f t="shared" si="13"/>
        <v>120.01693553352263</v>
      </c>
      <c r="Q56">
        <f t="shared" si="14"/>
        <v>202.86003657286031</v>
      </c>
      <c r="R56" s="7"/>
    </row>
    <row r="57" spans="2:18" x14ac:dyDescent="0.3">
      <c r="B57">
        <f t="shared" si="15"/>
        <v>0.43000000000000022</v>
      </c>
      <c r="C57">
        <f t="shared" si="3"/>
        <v>0.86989152563700167</v>
      </c>
      <c r="D57" s="6">
        <f t="shared" si="1"/>
        <v>0.33333333333333331</v>
      </c>
      <c r="E57" s="6">
        <f t="shared" si="9"/>
        <v>0.375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218.49</v>
      </c>
      <c r="L57">
        <f t="shared" si="10"/>
        <v>193.162398</v>
      </c>
      <c r="M57">
        <f t="shared" si="8"/>
        <v>0.37834037196416292</v>
      </c>
      <c r="N57">
        <f t="shared" si="11"/>
        <v>202.74485236164026</v>
      </c>
      <c r="O57">
        <f t="shared" si="12"/>
        <v>82.663587870449959</v>
      </c>
      <c r="P57">
        <f t="shared" si="13"/>
        <v>120.08126449119031</v>
      </c>
      <c r="Q57">
        <f t="shared" si="14"/>
        <v>202.74485236164026</v>
      </c>
      <c r="R57" s="7"/>
    </row>
    <row r="58" spans="2:18" x14ac:dyDescent="0.3">
      <c r="B58">
        <f t="shared" si="15"/>
        <v>0.44000000000000022</v>
      </c>
      <c r="C58">
        <f t="shared" si="3"/>
        <v>0.8455347349164648</v>
      </c>
      <c r="D58" s="6">
        <f t="shared" si="1"/>
        <v>0.33333333333333331</v>
      </c>
      <c r="E58" s="6">
        <f t="shared" si="9"/>
        <v>0.375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219.36</v>
      </c>
      <c r="L58">
        <f t="shared" si="10"/>
        <v>192.50380799999999</v>
      </c>
      <c r="M58">
        <f t="shared" si="8"/>
        <v>0.37625386696140251</v>
      </c>
      <c r="N58">
        <f t="shared" si="11"/>
        <v>202.60855409185788</v>
      </c>
      <c r="O58">
        <f t="shared" si="12"/>
        <v>82.535048256653255</v>
      </c>
      <c r="P58">
        <f t="shared" si="13"/>
        <v>120.07350583520463</v>
      </c>
      <c r="Q58">
        <f t="shared" si="14"/>
        <v>202.60855409185788</v>
      </c>
      <c r="R58" s="4"/>
    </row>
    <row r="59" spans="2:18" x14ac:dyDescent="0.3">
      <c r="B59">
        <f t="shared" si="15"/>
        <v>0.45000000000000023</v>
      </c>
      <c r="C59">
        <f t="shared" si="3"/>
        <v>0.81757447619364298</v>
      </c>
      <c r="D59" s="6">
        <f t="shared" si="1"/>
        <v>0.33333333333333331</v>
      </c>
      <c r="E59" s="6">
        <f t="shared" si="9"/>
        <v>0.375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220.25000000000003</v>
      </c>
      <c r="L59">
        <f t="shared" si="10"/>
        <v>191.79874999999998</v>
      </c>
      <c r="M59">
        <f t="shared" si="8"/>
        <v>0.37439044509693409</v>
      </c>
      <c r="N59">
        <f t="shared" si="11"/>
        <v>202.45062615106414</v>
      </c>
      <c r="O59">
        <f t="shared" si="12"/>
        <v>82.459495532599746</v>
      </c>
      <c r="P59">
        <f t="shared" si="13"/>
        <v>119.9911306184644</v>
      </c>
      <c r="Q59">
        <f t="shared" si="14"/>
        <v>202.45062615106414</v>
      </c>
      <c r="R59" s="16"/>
    </row>
    <row r="60" spans="2:18" x14ac:dyDescent="0.3">
      <c r="B60">
        <f t="shared" si="15"/>
        <v>0.46000000000000024</v>
      </c>
      <c r="C60">
        <f t="shared" si="3"/>
        <v>0.78583498304255794</v>
      </c>
      <c r="D60" s="6">
        <f t="shared" si="1"/>
        <v>0.33333333333333331</v>
      </c>
      <c r="E60" s="6">
        <f t="shared" si="9"/>
        <v>0.375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221.16000000000003</v>
      </c>
      <c r="L60">
        <f t="shared" si="10"/>
        <v>191.04508799999999</v>
      </c>
      <c r="M60">
        <f t="shared" si="8"/>
        <v>0.37275791060328656</v>
      </c>
      <c r="N60">
        <f t="shared" si="11"/>
        <v>202.27065967512186</v>
      </c>
      <c r="O60">
        <f t="shared" si="12"/>
        <v>82.439139509022866</v>
      </c>
      <c r="P60">
        <f t="shared" si="13"/>
        <v>119.83152016609898</v>
      </c>
      <c r="Q60">
        <f t="shared" si="14"/>
        <v>202.27065967512186</v>
      </c>
      <c r="R60" s="7"/>
    </row>
    <row r="61" spans="2:18" x14ac:dyDescent="0.3">
      <c r="B61">
        <f t="shared" si="15"/>
        <v>0.47000000000000025</v>
      </c>
      <c r="C61">
        <f t="shared" si="3"/>
        <v>0.7502601055951168</v>
      </c>
      <c r="D61" s="6">
        <f t="shared" si="1"/>
        <v>0.33333333333333331</v>
      </c>
      <c r="E61" s="6">
        <f t="shared" si="9"/>
        <v>0.375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222.09000000000003</v>
      </c>
      <c r="L61">
        <f t="shared" si="10"/>
        <v>190.24063799999999</v>
      </c>
      <c r="M61">
        <f t="shared" si="8"/>
        <v>0.37136356986142671</v>
      </c>
      <c r="N61">
        <f t="shared" si="11"/>
        <v>202.06833077012885</v>
      </c>
      <c r="O61">
        <f t="shared" si="12"/>
        <v>82.476135230524264</v>
      </c>
      <c r="P61">
        <f t="shared" si="13"/>
        <v>119.5921955396046</v>
      </c>
      <c r="Q61">
        <f t="shared" si="14"/>
        <v>202.06833077012885</v>
      </c>
      <c r="R61" s="7"/>
    </row>
    <row r="62" spans="2:18" x14ac:dyDescent="0.3">
      <c r="B62">
        <f t="shared" si="15"/>
        <v>0.48000000000000026</v>
      </c>
      <c r="C62">
        <f t="shared" si="3"/>
        <v>0.710949502625003</v>
      </c>
      <c r="D62" s="6">
        <f t="shared" si="1"/>
        <v>0.33333333333333331</v>
      </c>
      <c r="E62" s="6">
        <f t="shared" si="9"/>
        <v>0.375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223.04000000000002</v>
      </c>
      <c r="L62">
        <f t="shared" si="10"/>
        <v>189.38316799999998</v>
      </c>
      <c r="M62">
        <f t="shared" si="8"/>
        <v>0.37021281831530761</v>
      </c>
      <c r="N62">
        <f t="shared" si="11"/>
        <v>201.84335863028483</v>
      </c>
      <c r="O62">
        <f t="shared" si="12"/>
        <v>82.572266997046214</v>
      </c>
      <c r="P62">
        <f t="shared" si="13"/>
        <v>119.27109163323861</v>
      </c>
      <c r="Q62">
        <f t="shared" si="14"/>
        <v>201.84335863028483</v>
      </c>
      <c r="R62" s="7"/>
    </row>
    <row r="63" spans="2:18" x14ac:dyDescent="0.3">
      <c r="B63">
        <f t="shared" si="15"/>
        <v>0.49000000000000027</v>
      </c>
      <c r="C63">
        <f t="shared" si="3"/>
        <v>0.66818777216816505</v>
      </c>
      <c r="D63" s="6">
        <f t="shared" si="1"/>
        <v>0.33333333333333331</v>
      </c>
      <c r="E63" s="6">
        <f t="shared" si="9"/>
        <v>0.375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224.01000000000002</v>
      </c>
      <c r="L63">
        <f t="shared" si="10"/>
        <v>188.47039799999999</v>
      </c>
      <c r="M63">
        <f t="shared" si="8"/>
        <v>0.3693075875555773</v>
      </c>
      <c r="N63">
        <f t="shared" si="11"/>
        <v>201.59544267730536</v>
      </c>
      <c r="O63">
        <f t="shared" si="12"/>
        <v>82.728592688324881</v>
      </c>
      <c r="P63">
        <f t="shared" si="13"/>
        <v>118.86684998898048</v>
      </c>
      <c r="Q63">
        <f t="shared" si="14"/>
        <v>201.59544267730536</v>
      </c>
      <c r="R63" s="7"/>
    </row>
    <row r="64" spans="2:18" x14ac:dyDescent="0.3">
      <c r="B64">
        <f t="shared" si="15"/>
        <v>0.50000000000000022</v>
      </c>
      <c r="C64">
        <f t="shared" si="3"/>
        <v>0.62245933120185359</v>
      </c>
      <c r="D64" s="6">
        <f t="shared" si="1"/>
        <v>0.33333333333333331</v>
      </c>
      <c r="E64" s="6">
        <f t="shared" si="9"/>
        <v>0.375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225.00000000000003</v>
      </c>
      <c r="L64">
        <f t="shared" si="10"/>
        <v>187.49999999999997</v>
      </c>
      <c r="M64">
        <f t="shared" si="8"/>
        <v>0.36864485666260671</v>
      </c>
      <c r="N64">
        <f t="shared" si="11"/>
        <v>201.32418212484777</v>
      </c>
      <c r="O64">
        <f t="shared" si="12"/>
        <v>82.945092749086527</v>
      </c>
      <c r="P64">
        <f t="shared" si="13"/>
        <v>118.37908937576123</v>
      </c>
      <c r="Q64">
        <f t="shared" si="14"/>
        <v>201.32418212484777</v>
      </c>
      <c r="R64" s="7"/>
    </row>
    <row r="65" spans="2:18" x14ac:dyDescent="0.3">
      <c r="B65">
        <f t="shared" si="15"/>
        <v>0.51000000000000023</v>
      </c>
      <c r="C65">
        <f t="shared" si="3"/>
        <v>0.57444251681165803</v>
      </c>
      <c r="D65" s="6">
        <f t="shared" si="1"/>
        <v>0.33333333333333331</v>
      </c>
      <c r="E65" s="6">
        <f t="shared" si="9"/>
        <v>0.375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226.01000000000002</v>
      </c>
      <c r="L65">
        <f t="shared" si="10"/>
        <v>186.46959799999999</v>
      </c>
      <c r="M65">
        <f t="shared" si="8"/>
        <v>0.36821549063450998</v>
      </c>
      <c r="N65">
        <f t="shared" si="11"/>
        <v>201.02898652231576</v>
      </c>
      <c r="O65">
        <f t="shared" si="12"/>
        <v>83.220383038305613</v>
      </c>
      <c r="P65">
        <f t="shared" si="13"/>
        <v>117.80860348401015</v>
      </c>
      <c r="Q65">
        <f t="shared" si="14"/>
        <v>201.02898652231576</v>
      </c>
      <c r="R65" s="7"/>
    </row>
    <row r="66" spans="2:18" x14ac:dyDescent="0.3">
      <c r="B66">
        <f t="shared" si="15"/>
        <v>0.52000000000000024</v>
      </c>
      <c r="C66">
        <f t="shared" si="3"/>
        <v>0.5249791874789389</v>
      </c>
      <c r="D66" s="6">
        <f t="shared" si="1"/>
        <v>0.33333333333333331</v>
      </c>
      <c r="E66" s="6">
        <f t="shared" si="9"/>
        <v>0.375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227.04000000000002</v>
      </c>
      <c r="L66">
        <f t="shared" si="10"/>
        <v>185.37676799999997</v>
      </c>
      <c r="M66">
        <f t="shared" si="8"/>
        <v>0.36800367212507229</v>
      </c>
      <c r="N66">
        <f t="shared" si="11"/>
        <v>200.70899036859879</v>
      </c>
      <c r="O66">
        <f t="shared" si="12"/>
        <v>83.551553719276427</v>
      </c>
      <c r="P66">
        <f t="shared" si="13"/>
        <v>117.15743664932238</v>
      </c>
      <c r="Q66">
        <f t="shared" si="14"/>
        <v>200.70899036859879</v>
      </c>
      <c r="R66" s="7"/>
    </row>
    <row r="67" spans="2:18" x14ac:dyDescent="0.3">
      <c r="B67">
        <f t="shared" si="15"/>
        <v>0.53000000000000025</v>
      </c>
      <c r="C67">
        <f t="shared" si="3"/>
        <v>0.47502081252105888</v>
      </c>
      <c r="D67" s="6">
        <f t="shared" si="1"/>
        <v>0.33333333333333331</v>
      </c>
      <c r="E67" s="6">
        <f t="shared" si="9"/>
        <v>0.375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228.09000000000003</v>
      </c>
      <c r="L67">
        <f t="shared" si="10"/>
        <v>184.21903799999998</v>
      </c>
      <c r="M67">
        <f t="shared" si="8"/>
        <v>0.3679871193861709</v>
      </c>
      <c r="N67">
        <f t="shared" si="11"/>
        <v>200.36298693108017</v>
      </c>
      <c r="O67">
        <f t="shared" si="12"/>
        <v>83.934182060791727</v>
      </c>
      <c r="P67">
        <f t="shared" si="13"/>
        <v>116.42880487028843</v>
      </c>
      <c r="Q67">
        <f t="shared" si="14"/>
        <v>200.36298693108017</v>
      </c>
      <c r="R67" s="7"/>
    </row>
    <row r="68" spans="2:18" x14ac:dyDescent="0.3">
      <c r="B68">
        <f t="shared" si="15"/>
        <v>0.54000000000000026</v>
      </c>
      <c r="C68">
        <f t="shared" si="3"/>
        <v>0.42555748318833986</v>
      </c>
      <c r="D68" s="6">
        <f t="shared" si="1"/>
        <v>0.33333333333333331</v>
      </c>
      <c r="E68" s="6">
        <f t="shared" si="9"/>
        <v>0.375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229.16000000000003</v>
      </c>
      <c r="L68">
        <f t="shared" si="10"/>
        <v>182.99388799999997</v>
      </c>
      <c r="M68">
        <f t="shared" si="8"/>
        <v>0.36813813819122315</v>
      </c>
      <c r="N68">
        <f t="shared" si="11"/>
        <v>199.98939451920745</v>
      </c>
      <c r="O68">
        <f t="shared" si="12"/>
        <v>84.362535747900708</v>
      </c>
      <c r="P68">
        <f t="shared" si="13"/>
        <v>115.62685877130676</v>
      </c>
      <c r="Q68">
        <f t="shared" si="14"/>
        <v>199.98939451920745</v>
      </c>
      <c r="R68" s="7"/>
    </row>
    <row r="69" spans="2:18" x14ac:dyDescent="0.3">
      <c r="B69">
        <f t="shared" si="15"/>
        <v>0.55000000000000027</v>
      </c>
      <c r="C69">
        <f t="shared" si="3"/>
        <v>0.3775406687981443</v>
      </c>
      <c r="D69" s="6">
        <f t="shared" si="1"/>
        <v>0.33333333333333331</v>
      </c>
      <c r="E69" s="6">
        <f t="shared" si="9"/>
        <v>0.375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230.25000000000003</v>
      </c>
      <c r="L69">
        <f t="shared" si="10"/>
        <v>181.69874999999996</v>
      </c>
      <c r="M69">
        <f t="shared" si="8"/>
        <v>0.36842537605364245</v>
      </c>
      <c r="N69">
        <f t="shared" si="11"/>
        <v>199.58626253912439</v>
      </c>
      <c r="O69">
        <f t="shared" si="12"/>
        <v>84.829942836351179</v>
      </c>
      <c r="P69">
        <f t="shared" si="13"/>
        <v>114.75631970277321</v>
      </c>
      <c r="Q69">
        <f t="shared" si="14"/>
        <v>199.58626253912439</v>
      </c>
      <c r="R69" s="7"/>
    </row>
    <row r="70" spans="2:18" x14ac:dyDescent="0.3">
      <c r="B70">
        <f t="shared" si="15"/>
        <v>0.56000000000000028</v>
      </c>
      <c r="C70">
        <f t="shared" si="3"/>
        <v>0.33181222783183273</v>
      </c>
      <c r="D70" s="6">
        <f t="shared" si="1"/>
        <v>0.33333333333333331</v>
      </c>
      <c r="E70" s="6">
        <f t="shared" si="9"/>
        <v>0.375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231.36000000000004</v>
      </c>
      <c r="L70">
        <f t="shared" si="10"/>
        <v>180.33100799999997</v>
      </c>
      <c r="M70">
        <f t="shared" si="8"/>
        <v>0.36881599163830259</v>
      </c>
      <c r="N70">
        <f t="shared" si="11"/>
        <v>199.15131628678301</v>
      </c>
      <c r="O70">
        <f t="shared" si="12"/>
        <v>85.329267825437697</v>
      </c>
      <c r="P70">
        <f t="shared" si="13"/>
        <v>113.8220484613453</v>
      </c>
      <c r="Q70">
        <f t="shared" si="14"/>
        <v>199.15131628678301</v>
      </c>
      <c r="R70" s="7"/>
    </row>
    <row r="71" spans="2:18" x14ac:dyDescent="0.3">
      <c r="B71">
        <f t="shared" si="15"/>
        <v>0.57000000000000028</v>
      </c>
      <c r="C71">
        <f t="shared" si="3"/>
        <v>0.289050497374995</v>
      </c>
      <c r="D71" s="6">
        <f t="shared" si="1"/>
        <v>0.33333333333333331</v>
      </c>
      <c r="E71" s="6">
        <f t="shared" si="9"/>
        <v>0.375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232.49000000000004</v>
      </c>
      <c r="L71">
        <f t="shared" si="10"/>
        <v>178.88799799999995</v>
      </c>
      <c r="M71">
        <f t="shared" si="8"/>
        <v>0.36927787418988267</v>
      </c>
      <c r="N71">
        <f t="shared" si="11"/>
        <v>198.68203135088183</v>
      </c>
      <c r="O71">
        <f t="shared" si="12"/>
        <v>85.853412970405842</v>
      </c>
      <c r="P71">
        <f t="shared" si="13"/>
        <v>112.82861838047599</v>
      </c>
      <c r="Q71">
        <f t="shared" si="14"/>
        <v>198.68203135088183</v>
      </c>
      <c r="R71" s="4"/>
    </row>
    <row r="72" spans="2:18" x14ac:dyDescent="0.3">
      <c r="B72">
        <f t="shared" si="15"/>
        <v>0.58000000000000029</v>
      </c>
      <c r="C72">
        <f t="shared" si="3"/>
        <v>0.24973989440488131</v>
      </c>
      <c r="D72" s="6">
        <f t="shared" si="1"/>
        <v>0.33333333333333331</v>
      </c>
      <c r="E72" s="6">
        <f t="shared" si="9"/>
        <v>0.375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233.64000000000004</v>
      </c>
      <c r="L72">
        <f t="shared" si="10"/>
        <v>177.36700799999994</v>
      </c>
      <c r="M72">
        <f t="shared" si="8"/>
        <v>0.36978156965087544</v>
      </c>
      <c r="N72">
        <f t="shared" si="11"/>
        <v>198.17572331071113</v>
      </c>
      <c r="O72">
        <f t="shared" si="12"/>
        <v>86.39576593323055</v>
      </c>
      <c r="P72">
        <f t="shared" si="13"/>
        <v>111.77995737748057</v>
      </c>
      <c r="Q72">
        <f t="shared" si="14"/>
        <v>198.17572331071113</v>
      </c>
      <c r="R72" s="4"/>
    </row>
    <row r="73" spans="2:18" x14ac:dyDescent="0.3">
      <c r="B73">
        <f t="shared" si="15"/>
        <v>0.5900000000000003</v>
      </c>
      <c r="C73">
        <f t="shared" si="3"/>
        <v>0.2141650169574405</v>
      </c>
      <c r="D73" s="6">
        <f t="shared" si="1"/>
        <v>0.33333333333333331</v>
      </c>
      <c r="E73" s="6">
        <f t="shared" si="9"/>
        <v>0.375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234.81000000000003</v>
      </c>
      <c r="L73">
        <f t="shared" si="10"/>
        <v>175.76527799999994</v>
      </c>
      <c r="M73">
        <f t="shared" si="8"/>
        <v>0.37030167474235454</v>
      </c>
      <c r="N73">
        <f t="shared" si="11"/>
        <v>197.62963744129672</v>
      </c>
      <c r="O73">
        <f t="shared" si="12"/>
        <v>86.950536246252284</v>
      </c>
      <c r="P73">
        <f t="shared" si="13"/>
        <v>110.67910119504444</v>
      </c>
      <c r="Q73">
        <f t="shared" si="14"/>
        <v>197.62963744129672</v>
      </c>
      <c r="R73" s="4"/>
    </row>
    <row r="74" spans="2:18" x14ac:dyDescent="0.3">
      <c r="B74">
        <f t="shared" si="15"/>
        <v>0.60000000000000031</v>
      </c>
      <c r="C74">
        <f t="shared" si="3"/>
        <v>0.18242552380635546</v>
      </c>
      <c r="D74" s="6">
        <f t="shared" si="1"/>
        <v>0.33333333333333331</v>
      </c>
      <c r="E74" s="6">
        <f t="shared" si="9"/>
        <v>0.375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236.00000000000003</v>
      </c>
      <c r="L74">
        <f t="shared" si="10"/>
        <v>174.07999999999996</v>
      </c>
      <c r="M74">
        <f t="shared" si="8"/>
        <v>0.37081760291218085</v>
      </c>
      <c r="N74">
        <f t="shared" si="11"/>
        <v>197.04102597232225</v>
      </c>
      <c r="O74">
        <f t="shared" si="12"/>
        <v>87.512954287274695</v>
      </c>
      <c r="P74">
        <f t="shared" si="13"/>
        <v>109.52807168504754</v>
      </c>
      <c r="Q74">
        <f t="shared" si="14"/>
        <v>197.04102597232225</v>
      </c>
      <c r="R74" s="4"/>
    </row>
    <row r="75" spans="2:18" x14ac:dyDescent="0.3">
      <c r="B75">
        <f t="shared" si="15"/>
        <v>0.61000000000000032</v>
      </c>
      <c r="C75">
        <f t="shared" si="3"/>
        <v>0.15446526508353398</v>
      </c>
      <c r="D75" s="6">
        <f t="shared" si="1"/>
        <v>0.33333333333333331</v>
      </c>
      <c r="E75" s="6">
        <f t="shared" si="9"/>
        <v>0.375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237.21000000000004</v>
      </c>
      <c r="L75">
        <f t="shared" si="10"/>
        <v>172.30831799999993</v>
      </c>
      <c r="M75">
        <f t="shared" si="8"/>
        <v>0.3713137581366695</v>
      </c>
      <c r="N75">
        <f t="shared" si="11"/>
        <v>196.40720545281101</v>
      </c>
      <c r="O75">
        <f t="shared" si="12"/>
        <v>88.079336567599384</v>
      </c>
      <c r="P75">
        <f t="shared" si="13"/>
        <v>108.32786888521163</v>
      </c>
      <c r="Q75">
        <f t="shared" si="14"/>
        <v>196.40720545281101</v>
      </c>
      <c r="R75" s="4"/>
    </row>
    <row r="76" spans="2:18" x14ac:dyDescent="0.3">
      <c r="B76">
        <f t="shared" si="15"/>
        <v>0.62000000000000033</v>
      </c>
      <c r="C76">
        <f t="shared" si="3"/>
        <v>0.13010847436299722</v>
      </c>
      <c r="D76" s="6">
        <f t="shared" si="1"/>
        <v>0.33333333333333331</v>
      </c>
      <c r="E76" s="6">
        <f t="shared" si="9"/>
        <v>0.375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238.44000000000005</v>
      </c>
      <c r="L76">
        <f t="shared" si="10"/>
        <v>170.44732799999994</v>
      </c>
      <c r="M76">
        <f t="shared" si="8"/>
        <v>0.37177924164186266</v>
      </c>
      <c r="N76">
        <f t="shared" si="11"/>
        <v>195.72559203336391</v>
      </c>
      <c r="O76">
        <f t="shared" si="12"/>
        <v>88.647042377085754</v>
      </c>
      <c r="P76">
        <f t="shared" si="13"/>
        <v>107.07854965627816</v>
      </c>
      <c r="Q76">
        <f t="shared" si="14"/>
        <v>195.72559203336391</v>
      </c>
      <c r="R76" s="4"/>
    </row>
    <row r="77" spans="2:18" x14ac:dyDescent="0.3">
      <c r="B77">
        <f t="shared" si="15"/>
        <v>0.63000000000000034</v>
      </c>
      <c r="C77">
        <f t="shared" si="3"/>
        <v>0.10909682119561237</v>
      </c>
      <c r="D77" s="6">
        <f t="shared" si="1"/>
        <v>0.33333333333333331</v>
      </c>
      <c r="E77" s="6">
        <f t="shared" si="9"/>
        <v>0.375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239.69000000000005</v>
      </c>
      <c r="L77">
        <f t="shared" si="10"/>
        <v>168.49407799999994</v>
      </c>
      <c r="M77">
        <f t="shared" si="8"/>
        <v>0.37220725348793104</v>
      </c>
      <c r="N77">
        <f t="shared" si="11"/>
        <v>194.99371658716095</v>
      </c>
      <c r="O77">
        <f t="shared" si="12"/>
        <v>89.214356588522207</v>
      </c>
      <c r="P77">
        <f t="shared" si="13"/>
        <v>105.77935999863874</v>
      </c>
      <c r="Q77">
        <f t="shared" si="14"/>
        <v>194.99371658716095</v>
      </c>
      <c r="R77" s="4"/>
    </row>
    <row r="78" spans="2:18" x14ac:dyDescent="0.3">
      <c r="B78">
        <f t="shared" si="15"/>
        <v>0.64000000000000035</v>
      </c>
      <c r="C78">
        <f t="shared" si="3"/>
        <v>9.1122961014855619E-2</v>
      </c>
      <c r="D78" s="6">
        <f t="shared" ref="D78:D114" si="17">$D$10/($D$10+$B$10)</f>
        <v>0.33333333333333331</v>
      </c>
      <c r="E78" s="6">
        <f t="shared" si="9"/>
        <v>0.375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240.96000000000004</v>
      </c>
      <c r="L78">
        <f t="shared" si="10"/>
        <v>166.44556799999992</v>
      </c>
      <c r="M78">
        <f t="shared" si="8"/>
        <v>0.37259434478977244</v>
      </c>
      <c r="N78">
        <f t="shared" si="11"/>
        <v>194.20922396842201</v>
      </c>
      <c r="O78">
        <f t="shared" si="12"/>
        <v>89.780333320543576</v>
      </c>
      <c r="P78">
        <f t="shared" si="13"/>
        <v>104.42889064787845</v>
      </c>
      <c r="Q78">
        <f t="shared" si="14"/>
        <v>194.20922396842201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7.5858180021243116E-2</v>
      </c>
      <c r="D79" s="6">
        <f t="shared" si="17"/>
        <v>0.33333333333333331</v>
      </c>
      <c r="E79" s="6">
        <f t="shared" si="9"/>
        <v>0.375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242.25000000000006</v>
      </c>
      <c r="L79">
        <f t="shared" si="10"/>
        <v>164.29874999999993</v>
      </c>
      <c r="M79">
        <f t="shared" ref="M79:M114" si="24">C79*D79^(1-EXP(-5*B79))+(1-C79)*E79</f>
        <v>0.37293964453518219</v>
      </c>
      <c r="N79">
        <f t="shared" si="11"/>
        <v>193.36986146607308</v>
      </c>
      <c r="O79">
        <f t="shared" si="12"/>
        <v>90.344628888647904</v>
      </c>
      <c r="P79">
        <f t="shared" si="13"/>
        <v>103.02523257742519</v>
      </c>
      <c r="Q79">
        <f t="shared" si="14"/>
        <v>193.36986146607308</v>
      </c>
      <c r="R79" s="4"/>
    </row>
    <row r="80" spans="2:18" x14ac:dyDescent="0.3">
      <c r="B80">
        <f t="shared" si="15"/>
        <v>0.66000000000000036</v>
      </c>
      <c r="C80">
        <f t="shared" si="19"/>
        <v>6.2973356056996055E-2</v>
      </c>
      <c r="D80" s="6">
        <f t="shared" si="17"/>
        <v>0.33333333333333331</v>
      </c>
      <c r="E80" s="6">
        <f t="shared" ref="E80:E114" si="25">$E$10/($E$10+$C$10)</f>
        <v>0.375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243.56000000000006</v>
      </c>
      <c r="L80">
        <f t="shared" ref="L80:L114" si="26">$G$10+I80</f>
        <v>162.05052799999993</v>
      </c>
      <c r="M80">
        <f t="shared" si="24"/>
        <v>0.37324414434880027</v>
      </c>
      <c r="N80">
        <f t="shared" ref="N80:N114" si="27">M80*K80+(1-M80)*L80</f>
        <v>192.47346113296248</v>
      </c>
      <c r="O80">
        <f t="shared" ref="O80:O114" si="28">K80*M80</f>
        <v>90.907343797593811</v>
      </c>
      <c r="P80">
        <f t="shared" ref="P80:P114" si="29">(1-M80)*L80</f>
        <v>101.56611733536866</v>
      </c>
      <c r="Q80">
        <f t="shared" ref="Q80:Q114" si="30">P80+O80</f>
        <v>192.47346113296248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5.2153563078417453E-2</v>
      </c>
      <c r="D81" s="6">
        <f t="shared" si="17"/>
        <v>0.33333333333333331</v>
      </c>
      <c r="E81" s="6">
        <f t="shared" si="25"/>
        <v>0.375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244.89000000000004</v>
      </c>
      <c r="L81">
        <f t="shared" si="26"/>
        <v>159.69775799999991</v>
      </c>
      <c r="M81">
        <f t="shared" si="24"/>
        <v>0.37351008679713554</v>
      </c>
      <c r="N81">
        <f t="shared" si="27"/>
        <v>191.51791970386256</v>
      </c>
      <c r="O81">
        <f t="shared" si="28"/>
        <v>91.468885155750542</v>
      </c>
      <c r="P81">
        <f t="shared" si="29"/>
        <v>100.049034548112</v>
      </c>
      <c r="Q81">
        <f t="shared" si="30"/>
        <v>191.51791970386256</v>
      </c>
      <c r="R81" s="4"/>
    </row>
    <row r="82" spans="2:18" x14ac:dyDescent="0.3">
      <c r="B82">
        <f t="shared" si="31"/>
        <v>0.68000000000000038</v>
      </c>
      <c r="C82">
        <f t="shared" si="19"/>
        <v>4.3107254941085915E-2</v>
      </c>
      <c r="D82" s="6">
        <f t="shared" si="17"/>
        <v>0.33333333333333331</v>
      </c>
      <c r="E82" s="6">
        <f t="shared" si="25"/>
        <v>0.375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246.24000000000007</v>
      </c>
      <c r="L82">
        <f t="shared" si="26"/>
        <v>157.23724799999991</v>
      </c>
      <c r="M82">
        <f t="shared" si="24"/>
        <v>0.37374047368424052</v>
      </c>
      <c r="N82">
        <f t="shared" si="27"/>
        <v>190.50117869168096</v>
      </c>
      <c r="O82">
        <f t="shared" si="28"/>
        <v>92.02985424000741</v>
      </c>
      <c r="P82">
        <f t="shared" si="29"/>
        <v>98.471324451673553</v>
      </c>
      <c r="Q82">
        <f t="shared" si="30"/>
        <v>190.50117869168096</v>
      </c>
      <c r="R82" s="4"/>
    </row>
    <row r="83" spans="2:18" x14ac:dyDescent="0.3">
      <c r="B83">
        <f t="shared" si="31"/>
        <v>0.69000000000000039</v>
      </c>
      <c r="C83">
        <f t="shared" si="19"/>
        <v>3.5571189272635917E-2</v>
      </c>
      <c r="D83" s="6">
        <f t="shared" si="17"/>
        <v>0.33333333333333331</v>
      </c>
      <c r="E83" s="6">
        <f t="shared" si="25"/>
        <v>0.375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247.61000000000004</v>
      </c>
      <c r="L83">
        <f t="shared" si="26"/>
        <v>154.6657579999999</v>
      </c>
      <c r="M83">
        <f t="shared" si="24"/>
        <v>0.37393869149141185</v>
      </c>
      <c r="N83">
        <f t="shared" si="27"/>
        <v>189.42120623514109</v>
      </c>
      <c r="O83">
        <f t="shared" si="28"/>
        <v>92.59095940018851</v>
      </c>
      <c r="P83">
        <f t="shared" si="29"/>
        <v>96.830246834952575</v>
      </c>
      <c r="Q83">
        <f t="shared" si="30"/>
        <v>189.42120623514109</v>
      </c>
      <c r="R83" s="4"/>
    </row>
    <row r="84" spans="2:18" x14ac:dyDescent="0.3">
      <c r="B84">
        <f t="shared" si="31"/>
        <v>0.7000000000000004</v>
      </c>
      <c r="C84">
        <f t="shared" si="19"/>
        <v>2.931223075135625E-2</v>
      </c>
      <c r="D84" s="6">
        <f t="shared" si="17"/>
        <v>0.33333333333333331</v>
      </c>
      <c r="E84" s="6">
        <f t="shared" si="25"/>
        <v>0.375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249.00000000000006</v>
      </c>
      <c r="L84">
        <f t="shared" si="26"/>
        <v>151.9799999999999</v>
      </c>
      <c r="M84">
        <f t="shared" si="24"/>
        <v>0.37410824035707768</v>
      </c>
      <c r="N84">
        <f t="shared" si="27"/>
        <v>188.27598147944366</v>
      </c>
      <c r="O84">
        <f t="shared" si="28"/>
        <v>93.152951848912366</v>
      </c>
      <c r="P84">
        <f t="shared" si="29"/>
        <v>95.123029630531278</v>
      </c>
      <c r="Q84">
        <f t="shared" si="30"/>
        <v>188.27598147944366</v>
      </c>
      <c r="R84" s="4"/>
    </row>
    <row r="85" spans="2:18" x14ac:dyDescent="0.3">
      <c r="B85">
        <f t="shared" si="31"/>
        <v>0.71000000000000041</v>
      </c>
      <c r="C85">
        <f t="shared" si="19"/>
        <v>2.4127021417668981E-2</v>
      </c>
      <c r="D85" s="6">
        <f t="shared" si="17"/>
        <v>0.33333333333333331</v>
      </c>
      <c r="E85" s="6">
        <f t="shared" si="25"/>
        <v>0.375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250.41000000000005</v>
      </c>
      <c r="L85">
        <f t="shared" si="26"/>
        <v>149.17663799999991</v>
      </c>
      <c r="M85">
        <f t="shared" si="24"/>
        <v>0.37425254850538137</v>
      </c>
      <c r="N85">
        <f t="shared" si="27"/>
        <v>187.0634817222678</v>
      </c>
      <c r="O85">
        <f t="shared" si="28"/>
        <v>93.716580671232563</v>
      </c>
      <c r="P85">
        <f t="shared" si="29"/>
        <v>93.346901051035232</v>
      </c>
      <c r="Q85">
        <f t="shared" si="30"/>
        <v>187.0634817222678</v>
      </c>
      <c r="R85" s="4"/>
    </row>
    <row r="86" spans="2:18" x14ac:dyDescent="0.3">
      <c r="B86">
        <f t="shared" si="31"/>
        <v>0.72000000000000042</v>
      </c>
      <c r="C86">
        <f t="shared" si="19"/>
        <v>1.9840305734077246E-2</v>
      </c>
      <c r="D86" s="6">
        <f t="shared" si="17"/>
        <v>0.33333333333333331</v>
      </c>
      <c r="E86" s="6">
        <f t="shared" si="25"/>
        <v>0.375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251.84000000000006</v>
      </c>
      <c r="L86">
        <f t="shared" si="26"/>
        <v>146.25228799999985</v>
      </c>
      <c r="M86">
        <f t="shared" si="24"/>
        <v>0.3743748535588961</v>
      </c>
      <c r="N86">
        <f t="shared" si="27"/>
        <v>185.78167221761882</v>
      </c>
      <c r="O86">
        <f t="shared" si="28"/>
        <v>94.282563120272414</v>
      </c>
      <c r="P86">
        <f t="shared" si="29"/>
        <v>91.499109097346405</v>
      </c>
      <c r="Q86">
        <f t="shared" si="30"/>
        <v>185.78167221761882</v>
      </c>
      <c r="R86" s="4"/>
    </row>
    <row r="87" spans="2:18" x14ac:dyDescent="0.3">
      <c r="B87">
        <f t="shared" si="31"/>
        <v>0.73000000000000043</v>
      </c>
      <c r="C87">
        <f t="shared" si="19"/>
        <v>1.6302499371440904E-2</v>
      </c>
      <c r="D87" s="6">
        <f t="shared" si="17"/>
        <v>0.33333333333333331</v>
      </c>
      <c r="E87" s="6">
        <f t="shared" si="25"/>
        <v>0.375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253.29000000000008</v>
      </c>
      <c r="L87">
        <f t="shared" si="26"/>
        <v>143.20351799999986</v>
      </c>
      <c r="M87">
        <f t="shared" si="24"/>
        <v>0.37447813391063289</v>
      </c>
      <c r="N87">
        <f t="shared" si="27"/>
        <v>184.42849834814643</v>
      </c>
      <c r="O87">
        <f t="shared" si="28"/>
        <v>94.851566538224233</v>
      </c>
      <c r="P87">
        <f t="shared" si="29"/>
        <v>89.576931809922186</v>
      </c>
      <c r="Q87">
        <f t="shared" si="30"/>
        <v>184.42849834814643</v>
      </c>
      <c r="R87" s="4"/>
    </row>
    <row r="88" spans="2:18" x14ac:dyDescent="0.3">
      <c r="B88">
        <f t="shared" si="31"/>
        <v>0.74000000000000044</v>
      </c>
      <c r="C88">
        <f t="shared" si="19"/>
        <v>1.3386917827664657E-2</v>
      </c>
      <c r="D88" s="6">
        <f t="shared" si="17"/>
        <v>0.33333333333333331</v>
      </c>
      <c r="E88" s="6">
        <f t="shared" si="25"/>
        <v>0.375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254.76000000000005</v>
      </c>
      <c r="L88">
        <f t="shared" si="26"/>
        <v>140.02684799999986</v>
      </c>
      <c r="M88">
        <f t="shared" si="24"/>
        <v>0.3745650760321923</v>
      </c>
      <c r="N88">
        <f t="shared" si="27"/>
        <v>183.00187980229299</v>
      </c>
      <c r="O88">
        <f t="shared" si="28"/>
        <v>95.424198769961322</v>
      </c>
      <c r="P88">
        <f t="shared" si="29"/>
        <v>87.577681032331668</v>
      </c>
      <c r="Q88">
        <f t="shared" si="30"/>
        <v>183.00187980229299</v>
      </c>
      <c r="R88" s="4"/>
    </row>
    <row r="89" spans="2:18" x14ac:dyDescent="0.3">
      <c r="B89">
        <f t="shared" si="31"/>
        <v>0.75000000000000044</v>
      </c>
      <c r="C89">
        <f t="shared" si="19"/>
        <v>1.0986942630593188E-2</v>
      </c>
      <c r="D89" s="6">
        <f t="shared" si="17"/>
        <v>0.33333333333333331</v>
      </c>
      <c r="E89" s="6">
        <f t="shared" si="25"/>
        <v>0.375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256.25000000000006</v>
      </c>
      <c r="L89">
        <f t="shared" si="26"/>
        <v>136.71874999999983</v>
      </c>
      <c r="M89">
        <f t="shared" si="24"/>
        <v>0.37463806648822906</v>
      </c>
      <c r="N89">
        <f t="shared" si="27"/>
        <v>181.49970638492107</v>
      </c>
      <c r="O89">
        <f t="shared" si="28"/>
        <v>96.001004537608722</v>
      </c>
      <c r="P89">
        <f t="shared" si="29"/>
        <v>85.498701847312333</v>
      </c>
      <c r="Q89">
        <f t="shared" si="30"/>
        <v>181.49970638492107</v>
      </c>
      <c r="R89" s="4"/>
    </row>
    <row r="90" spans="2:18" x14ac:dyDescent="0.3">
      <c r="B90">
        <f t="shared" si="31"/>
        <v>0.76000000000000045</v>
      </c>
      <c r="C90">
        <f t="shared" si="19"/>
        <v>9.0132986528477232E-3</v>
      </c>
      <c r="D90" s="6">
        <f t="shared" si="17"/>
        <v>0.33333333333333331</v>
      </c>
      <c r="E90" s="6">
        <f t="shared" si="25"/>
        <v>0.375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257.76000000000005</v>
      </c>
      <c r="L90">
        <f t="shared" si="26"/>
        <v>133.27564799999985</v>
      </c>
      <c r="M90">
        <f t="shared" si="24"/>
        <v>0.37469920009727942</v>
      </c>
      <c r="N90">
        <f t="shared" si="27"/>
        <v>179.91983511902811</v>
      </c>
      <c r="O90">
        <f t="shared" si="28"/>
        <v>96.582465817074763</v>
      </c>
      <c r="P90">
        <f t="shared" si="29"/>
        <v>83.337369301953331</v>
      </c>
      <c r="Q90">
        <f t="shared" si="30"/>
        <v>179.91983511902811</v>
      </c>
      <c r="R90" s="4"/>
    </row>
    <row r="91" spans="2:18" x14ac:dyDescent="0.3">
      <c r="B91">
        <f t="shared" si="31"/>
        <v>0.77000000000000046</v>
      </c>
      <c r="C91">
        <f t="shared" si="19"/>
        <v>7.3915413442818823E-3</v>
      </c>
      <c r="D91" s="6">
        <f t="shared" si="17"/>
        <v>0.33333333333333331</v>
      </c>
      <c r="E91" s="6">
        <f t="shared" si="25"/>
        <v>0.375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259.29000000000008</v>
      </c>
      <c r="L91">
        <f t="shared" si="26"/>
        <v>129.69391799999983</v>
      </c>
      <c r="M91">
        <f t="shared" si="24"/>
        <v>0.37475029794412129</v>
      </c>
      <c r="N91">
        <f t="shared" si="27"/>
        <v>178.26008834189071</v>
      </c>
      <c r="O91">
        <f t="shared" si="28"/>
        <v>97.169004753931233</v>
      </c>
      <c r="P91">
        <f t="shared" si="29"/>
        <v>81.09108358795946</v>
      </c>
      <c r="Q91">
        <f t="shared" si="30"/>
        <v>178.26008834189071</v>
      </c>
      <c r="R91" s="4"/>
    </row>
    <row r="92" spans="2:18" x14ac:dyDescent="0.3">
      <c r="B92">
        <f t="shared" si="31"/>
        <v>0.78000000000000047</v>
      </c>
      <c r="C92">
        <f t="shared" si="19"/>
        <v>6.059801491584027E-3</v>
      </c>
      <c r="D92" s="6">
        <f t="shared" si="17"/>
        <v>0.33333333333333331</v>
      </c>
      <c r="E92" s="6">
        <f t="shared" si="25"/>
        <v>0.375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260.84000000000009</v>
      </c>
      <c r="L92">
        <f t="shared" si="26"/>
        <v>125.96988799999983</v>
      </c>
      <c r="M92">
        <f t="shared" si="24"/>
        <v>0.37479293076641212</v>
      </c>
      <c r="N92">
        <f t="shared" si="27"/>
        <v>176.51825254927417</v>
      </c>
      <c r="O92">
        <f t="shared" si="28"/>
        <v>97.760988061110979</v>
      </c>
      <c r="P92">
        <f t="shared" si="29"/>
        <v>78.757264488163202</v>
      </c>
      <c r="Q92">
        <f t="shared" si="30"/>
        <v>176.51825254927417</v>
      </c>
      <c r="R92" s="4"/>
    </row>
    <row r="93" spans="2:18" x14ac:dyDescent="0.3">
      <c r="B93">
        <f t="shared" si="31"/>
        <v>0.79000000000000048</v>
      </c>
      <c r="C93">
        <f t="shared" si="19"/>
        <v>4.9668016500568068E-3</v>
      </c>
      <c r="D93" s="6">
        <f t="shared" si="17"/>
        <v>0.33333333333333331</v>
      </c>
      <c r="E93" s="6">
        <f t="shared" si="25"/>
        <v>0.375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262.41000000000008</v>
      </c>
      <c r="L93">
        <f t="shared" si="26"/>
        <v>122.09983799999981</v>
      </c>
      <c r="M93">
        <f t="shared" si="24"/>
        <v>0.37482844463828191</v>
      </c>
      <c r="N93">
        <f t="shared" si="27"/>
        <v>174.69207778940529</v>
      </c>
      <c r="O93">
        <f t="shared" si="28"/>
        <v>98.358732157531591</v>
      </c>
      <c r="P93">
        <f t="shared" si="29"/>
        <v>76.333345631873684</v>
      </c>
      <c r="Q93">
        <f t="shared" si="30"/>
        <v>174.69207778940529</v>
      </c>
      <c r="R93" s="4"/>
    </row>
    <row r="94" spans="2:18" x14ac:dyDescent="0.3">
      <c r="B94">
        <f t="shared" si="31"/>
        <v>0.80000000000000049</v>
      </c>
      <c r="C94">
        <f t="shared" si="19"/>
        <v>4.0701377158960383E-3</v>
      </c>
      <c r="D94" s="6">
        <f t="shared" si="17"/>
        <v>0.33333333333333331</v>
      </c>
      <c r="E94" s="6">
        <f t="shared" si="25"/>
        <v>0.375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264.00000000000011</v>
      </c>
      <c r="L94">
        <f t="shared" si="26"/>
        <v>118.0799999999998</v>
      </c>
      <c r="M94">
        <f t="shared" si="24"/>
        <v>0.37485798691713229</v>
      </c>
      <c r="N94">
        <f t="shared" si="27"/>
        <v>172.77927745094786</v>
      </c>
      <c r="O94">
        <f t="shared" si="28"/>
        <v>98.962508546122962</v>
      </c>
      <c r="P94">
        <f t="shared" si="29"/>
        <v>73.816768904824897</v>
      </c>
      <c r="Q94">
        <f t="shared" si="30"/>
        <v>172.77927745094786</v>
      </c>
      <c r="R94" s="7"/>
    </row>
    <row r="95" spans="2:18" x14ac:dyDescent="0.3">
      <c r="B95">
        <f t="shared" si="31"/>
        <v>0.8100000000000005</v>
      </c>
      <c r="C95">
        <f t="shared" si="19"/>
        <v>3.3348073074133122E-3</v>
      </c>
      <c r="D95" s="6">
        <f t="shared" si="17"/>
        <v>0.33333333333333331</v>
      </c>
      <c r="E95" s="6">
        <f t="shared" si="25"/>
        <v>0.375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265.61000000000007</v>
      </c>
      <c r="L95">
        <f t="shared" si="26"/>
        <v>113.90655799999979</v>
      </c>
      <c r="M95">
        <f t="shared" si="24"/>
        <v>0.37488253117617765</v>
      </c>
      <c r="N95">
        <f t="shared" si="27"/>
        <v>170.77752832509833</v>
      </c>
      <c r="O95">
        <f t="shared" si="28"/>
        <v>99.572549105704567</v>
      </c>
      <c r="P95">
        <f t="shared" si="29"/>
        <v>71.204979219393778</v>
      </c>
      <c r="Q95">
        <f t="shared" si="30"/>
        <v>170.77752832509833</v>
      </c>
      <c r="R95" s="4"/>
    </row>
    <row r="96" spans="2:18" x14ac:dyDescent="0.3">
      <c r="B96">
        <f t="shared" si="31"/>
        <v>0.82000000000000051</v>
      </c>
      <c r="C96">
        <f t="shared" si="19"/>
        <v>2.7319607630109655E-3</v>
      </c>
      <c r="D96" s="6">
        <f t="shared" si="17"/>
        <v>0.33333333333333331</v>
      </c>
      <c r="E96" s="6">
        <f t="shared" si="25"/>
        <v>0.375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267.24000000000007</v>
      </c>
      <c r="L96">
        <f t="shared" si="26"/>
        <v>109.57564799999979</v>
      </c>
      <c r="M96">
        <f t="shared" si="24"/>
        <v>0.37490290037898621</v>
      </c>
      <c r="N96">
        <f t="shared" si="27"/>
        <v>168.6844708511733</v>
      </c>
      <c r="O96">
        <f t="shared" si="28"/>
        <v>100.1890510972803</v>
      </c>
      <c r="P96">
        <f t="shared" si="29"/>
        <v>68.495419753893003</v>
      </c>
      <c r="Q96">
        <f t="shared" si="30"/>
        <v>168.6844708511733</v>
      </c>
      <c r="R96" s="4"/>
    </row>
    <row r="97" spans="2:18" x14ac:dyDescent="0.3">
      <c r="B97">
        <f t="shared" si="31"/>
        <v>0.83000000000000052</v>
      </c>
      <c r="C97">
        <f t="shared" si="19"/>
        <v>2.2378485212761756E-3</v>
      </c>
      <c r="D97" s="6">
        <f t="shared" si="17"/>
        <v>0.33333333333333331</v>
      </c>
      <c r="E97" s="6">
        <f t="shared" si="25"/>
        <v>0.375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268.8900000000001</v>
      </c>
      <c r="L97">
        <f t="shared" si="26"/>
        <v>105.08335799999978</v>
      </c>
      <c r="M97">
        <f t="shared" si="24"/>
        <v>0.37491978791880848</v>
      </c>
      <c r="N97">
        <f t="shared" si="27"/>
        <v>166.49770947833207</v>
      </c>
      <c r="O97">
        <f t="shared" si="28"/>
        <v>100.81218177348845</v>
      </c>
      <c r="P97">
        <f t="shared" si="29"/>
        <v>65.685527704843636</v>
      </c>
      <c r="Q97">
        <f t="shared" si="30"/>
        <v>166.49770947833207</v>
      </c>
      <c r="R97" s="4"/>
    </row>
    <row r="98" spans="2:18" x14ac:dyDescent="0.3">
      <c r="B98">
        <f t="shared" si="31"/>
        <v>0.84000000000000052</v>
      </c>
      <c r="C98">
        <f t="shared" si="19"/>
        <v>1.8329389424928122E-3</v>
      </c>
      <c r="D98" s="6">
        <f t="shared" si="17"/>
        <v>0.33333333333333331</v>
      </c>
      <c r="E98" s="6">
        <f t="shared" si="25"/>
        <v>0.375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270.56000000000006</v>
      </c>
      <c r="L98">
        <f t="shared" si="26"/>
        <v>100.42572799999975</v>
      </c>
      <c r="M98">
        <f t="shared" si="24"/>
        <v>0.37493377638948</v>
      </c>
      <c r="N98">
        <f t="shared" si="27"/>
        <v>164.21481309423484</v>
      </c>
      <c r="O98">
        <f t="shared" si="28"/>
        <v>101.44208253993773</v>
      </c>
      <c r="P98">
        <f t="shared" si="29"/>
        <v>62.772730554297105</v>
      </c>
      <c r="Q98">
        <f t="shared" si="30"/>
        <v>164.21481309423484</v>
      </c>
      <c r="R98" s="4"/>
    </row>
    <row r="99" spans="2:18" x14ac:dyDescent="0.3">
      <c r="B99">
        <f t="shared" si="31"/>
        <v>0.85000000000000053</v>
      </c>
      <c r="C99">
        <f t="shared" si="19"/>
        <v>1.5011822567370103E-3</v>
      </c>
      <c r="D99" s="6">
        <f t="shared" si="17"/>
        <v>0.33333333333333331</v>
      </c>
      <c r="E99" s="6">
        <f t="shared" si="25"/>
        <v>0.375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272.25000000000011</v>
      </c>
      <c r="L99">
        <f t="shared" si="26"/>
        <v>95.59874999999974</v>
      </c>
      <c r="M99">
        <f t="shared" si="24"/>
        <v>0.37494535411088015</v>
      </c>
      <c r="N99">
        <f t="shared" si="27"/>
        <v>161.8333154853795</v>
      </c>
      <c r="O99">
        <f t="shared" si="28"/>
        <v>102.07887265668717</v>
      </c>
      <c r="P99">
        <f t="shared" si="29"/>
        <v>59.754442828692333</v>
      </c>
      <c r="Q99">
        <f t="shared" si="30"/>
        <v>161.8333154853795</v>
      </c>
      <c r="R99" s="4"/>
    </row>
    <row r="100" spans="2:18" x14ac:dyDescent="0.3">
      <c r="B100">
        <f t="shared" si="31"/>
        <v>0.86000000000000054</v>
      </c>
      <c r="C100">
        <f t="shared" si="19"/>
        <v>1.2293986212773556E-3</v>
      </c>
      <c r="D100" s="6">
        <f t="shared" si="17"/>
        <v>0.33333333333333331</v>
      </c>
      <c r="E100" s="6">
        <f t="shared" si="25"/>
        <v>0.375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273.96000000000009</v>
      </c>
      <c r="L100">
        <f t="shared" si="26"/>
        <v>90.598367999999724</v>
      </c>
      <c r="M100">
        <f t="shared" si="24"/>
        <v>0.37495492952650084</v>
      </c>
      <c r="N100">
        <f t="shared" si="27"/>
        <v>159.35071580442406</v>
      </c>
      <c r="O100">
        <f t="shared" si="28"/>
        <v>102.7226524930802</v>
      </c>
      <c r="P100">
        <f t="shared" si="29"/>
        <v>56.628063311343837</v>
      </c>
      <c r="Q100">
        <f t="shared" si="30"/>
        <v>159.35071580442406</v>
      </c>
      <c r="R100" s="4"/>
    </row>
    <row r="101" spans="2:18" x14ac:dyDescent="0.3">
      <c r="B101">
        <f t="shared" si="31"/>
        <v>0.87000000000000055</v>
      </c>
      <c r="C101">
        <f t="shared" si="19"/>
        <v>1.0067708200856007E-3</v>
      </c>
      <c r="D101" s="6">
        <f t="shared" si="17"/>
        <v>0.33333333333333331</v>
      </c>
      <c r="E101" s="6">
        <f t="shared" si="25"/>
        <v>0.375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275.69000000000011</v>
      </c>
      <c r="L101">
        <f t="shared" si="26"/>
        <v>85.420477999999719</v>
      </c>
      <c r="M101">
        <f t="shared" si="24"/>
        <v>0.37496284364294585</v>
      </c>
      <c r="N101">
        <f t="shared" si="27"/>
        <v>156.76447902770391</v>
      </c>
      <c r="O101">
        <f t="shared" si="28"/>
        <v>103.37350636392378</v>
      </c>
      <c r="P101">
        <f t="shared" si="29"/>
        <v>53.390972663780126</v>
      </c>
      <c r="Q101">
        <f t="shared" si="30"/>
        <v>156.76447902770391</v>
      </c>
      <c r="R101" s="4"/>
    </row>
    <row r="102" spans="2:18" x14ac:dyDescent="0.3">
      <c r="B102">
        <f t="shared" si="31"/>
        <v>0.88000000000000056</v>
      </c>
      <c r="C102">
        <f t="shared" si="19"/>
        <v>8.2442468639831734E-4</v>
      </c>
      <c r="D102" s="6">
        <f t="shared" si="17"/>
        <v>0.33333333333333331</v>
      </c>
      <c r="E102" s="6">
        <f t="shared" si="25"/>
        <v>0.375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277.44000000000011</v>
      </c>
      <c r="L102">
        <f t="shared" si="26"/>
        <v>80.060927999999691</v>
      </c>
      <c r="M102">
        <f t="shared" si="24"/>
        <v>0.37496938070512292</v>
      </c>
      <c r="N102">
        <f t="shared" si="27"/>
        <v>154.07203639199173</v>
      </c>
      <c r="O102">
        <f t="shared" si="28"/>
        <v>104.03150498282935</v>
      </c>
      <c r="P102">
        <f t="shared" si="29"/>
        <v>50.040531409162377</v>
      </c>
      <c r="Q102">
        <f t="shared" si="30"/>
        <v>154.07203639199173</v>
      </c>
      <c r="R102" s="4"/>
    </row>
    <row r="103" spans="2:18" x14ac:dyDescent="0.3">
      <c r="B103">
        <f t="shared" si="31"/>
        <v>0.89000000000000057</v>
      </c>
      <c r="C103">
        <f t="shared" si="19"/>
        <v>6.7508273063277002E-4</v>
      </c>
      <c r="D103" s="6">
        <f t="shared" si="17"/>
        <v>0.33333333333333331</v>
      </c>
      <c r="E103" s="6">
        <f t="shared" si="25"/>
        <v>0.375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279.21000000000009</v>
      </c>
      <c r="L103">
        <f t="shared" si="26"/>
        <v>74.515517999999673</v>
      </c>
      <c r="M103">
        <f t="shared" si="24"/>
        <v>0.3749747773064388</v>
      </c>
      <c r="N103">
        <f t="shared" si="27"/>
        <v>151.27078580380669</v>
      </c>
      <c r="O103">
        <f t="shared" si="28"/>
        <v>104.69670757173081</v>
      </c>
      <c r="P103">
        <f t="shared" si="29"/>
        <v>46.574078232075863</v>
      </c>
      <c r="Q103">
        <f t="shared" si="30"/>
        <v>151.27078580380669</v>
      </c>
      <c r="R103" s="4"/>
    </row>
    <row r="104" spans="2:18" x14ac:dyDescent="0.3">
      <c r="B104">
        <f t="shared" si="31"/>
        <v>0.90000000000000058</v>
      </c>
      <c r="C104">
        <f t="shared" si="19"/>
        <v>5.5277863692360096E-4</v>
      </c>
      <c r="D104" s="6">
        <f t="shared" si="17"/>
        <v>0.33333333333333331</v>
      </c>
      <c r="E104" s="6">
        <f t="shared" si="25"/>
        <v>0.375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281.00000000000011</v>
      </c>
      <c r="L104">
        <f t="shared" si="26"/>
        <v>68.77999999999966</v>
      </c>
      <c r="M104">
        <f t="shared" si="24"/>
        <v>0.37497923012742018</v>
      </c>
      <c r="N104">
        <f t="shared" si="27"/>
        <v>148.35809221764094</v>
      </c>
      <c r="O104">
        <f t="shared" si="28"/>
        <v>105.36916366580512</v>
      </c>
      <c r="P104">
        <f t="shared" si="29"/>
        <v>42.988928551835826</v>
      </c>
      <c r="Q104">
        <f t="shared" si="30"/>
        <v>148.35809221764094</v>
      </c>
      <c r="R104" s="4"/>
    </row>
    <row r="105" spans="2:18" x14ac:dyDescent="0.3">
      <c r="B105">
        <f t="shared" si="31"/>
        <v>0.91000000000000059</v>
      </c>
      <c r="C105">
        <f t="shared" si="19"/>
        <v>4.5262222324049528E-4</v>
      </c>
      <c r="D105" s="6">
        <f t="shared" si="17"/>
        <v>0.33333333333333331</v>
      </c>
      <c r="E105" s="6">
        <f t="shared" si="25"/>
        <v>0.375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282.81000000000012</v>
      </c>
      <c r="L105">
        <f t="shared" si="26"/>
        <v>62.850077999999655</v>
      </c>
      <c r="M105">
        <f t="shared" si="24"/>
        <v>0.37498290248362476</v>
      </c>
      <c r="N105">
        <f t="shared" si="27"/>
        <v>145.33128798163153</v>
      </c>
      <c r="O105">
        <f t="shared" si="28"/>
        <v>106.04891465139396</v>
      </c>
      <c r="P105">
        <f t="shared" si="29"/>
        <v>39.282373330237576</v>
      </c>
      <c r="Q105">
        <f t="shared" si="30"/>
        <v>145.33128798163153</v>
      </c>
      <c r="R105" s="4"/>
    </row>
    <row r="106" spans="2:18" x14ac:dyDescent="0.3">
      <c r="B106">
        <f t="shared" si="31"/>
        <v>0.9200000000000006</v>
      </c>
      <c r="C106">
        <f t="shared" si="19"/>
        <v>3.7060614062645048E-4</v>
      </c>
      <c r="D106" s="6">
        <f t="shared" si="17"/>
        <v>0.33333333333333331</v>
      </c>
      <c r="E106" s="6">
        <f t="shared" si="25"/>
        <v>0.375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284.6400000000001</v>
      </c>
      <c r="L106">
        <f t="shared" si="26"/>
        <v>56.721407999999656</v>
      </c>
      <c r="M106">
        <f t="shared" si="24"/>
        <v>0.37498592984769563</v>
      </c>
      <c r="N106">
        <f t="shared" si="27"/>
        <v>142.18767315069738</v>
      </c>
      <c r="O106">
        <f t="shared" si="28"/>
        <v>106.73599507184812</v>
      </c>
      <c r="P106">
        <f t="shared" si="29"/>
        <v>35.451678078849262</v>
      </c>
      <c r="Q106">
        <f t="shared" si="30"/>
        <v>142.18767315069738</v>
      </c>
      <c r="R106" s="4"/>
    </row>
    <row r="107" spans="2:18" x14ac:dyDescent="0.3">
      <c r="B107">
        <f t="shared" si="31"/>
        <v>0.9300000000000006</v>
      </c>
      <c r="C107">
        <f t="shared" si="19"/>
        <v>3.03447030028825E-4</v>
      </c>
      <c r="D107" s="6">
        <f t="shared" si="17"/>
        <v>0.33333333333333331</v>
      </c>
      <c r="E107" s="6">
        <f t="shared" si="25"/>
        <v>0.375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286.49000000000012</v>
      </c>
      <c r="L107">
        <f t="shared" si="26"/>
        <v>50.389597999999637</v>
      </c>
      <c r="M107">
        <f t="shared" si="24"/>
        <v>0.37498842449305925</v>
      </c>
      <c r="N107">
        <f t="shared" si="27"/>
        <v>138.92451576815776</v>
      </c>
      <c r="O107">
        <f t="shared" si="28"/>
        <v>107.43043373301659</v>
      </c>
      <c r="P107">
        <f t="shared" si="29"/>
        <v>31.494082035141165</v>
      </c>
      <c r="Q107">
        <f t="shared" si="30"/>
        <v>138.92451576815776</v>
      </c>
      <c r="R107" s="4"/>
    </row>
    <row r="108" spans="2:18" x14ac:dyDescent="0.3">
      <c r="B108">
        <f t="shared" si="31"/>
        <v>0.94000000000000061</v>
      </c>
      <c r="C108">
        <f t="shared" si="19"/>
        <v>2.4845508183946041E-4</v>
      </c>
      <c r="D108" s="6">
        <f t="shared" si="17"/>
        <v>0.33333333333333331</v>
      </c>
      <c r="E108" s="6">
        <f t="shared" si="25"/>
        <v>0.375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288.36000000000013</v>
      </c>
      <c r="L108">
        <f t="shared" si="26"/>
        <v>43.850207999999583</v>
      </c>
      <c r="M108">
        <f t="shared" si="24"/>
        <v>0.37499047938940633</v>
      </c>
      <c r="N108">
        <f t="shared" si="27"/>
        <v>135.53905211748381</v>
      </c>
      <c r="O108">
        <f t="shared" si="28"/>
        <v>108.13225463672926</v>
      </c>
      <c r="P108">
        <f t="shared" si="29"/>
        <v>27.406797480754559</v>
      </c>
      <c r="Q108">
        <f t="shared" si="30"/>
        <v>135.53905211748381</v>
      </c>
      <c r="R108" s="4"/>
    </row>
    <row r="109" spans="2:18" x14ac:dyDescent="0.3">
      <c r="B109">
        <f t="shared" si="31"/>
        <v>0.95000000000000062</v>
      </c>
      <c r="C109">
        <f t="shared" si="19"/>
        <v>2.0342697805519894E-4</v>
      </c>
      <c r="D109" s="6">
        <f t="shared" si="17"/>
        <v>0.33333333333333331</v>
      </c>
      <c r="E109" s="6">
        <f t="shared" si="25"/>
        <v>0.375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290.25000000000011</v>
      </c>
      <c r="L109">
        <f t="shared" si="26"/>
        <v>37.098749999999569</v>
      </c>
      <c r="M109">
        <f t="shared" si="24"/>
        <v>0.3749921714635453</v>
      </c>
      <c r="N109">
        <f t="shared" si="27"/>
        <v>132.02848694621059</v>
      </c>
      <c r="O109">
        <f t="shared" si="28"/>
        <v>108.84147776729407</v>
      </c>
      <c r="P109">
        <f t="shared" si="29"/>
        <v>23.187009178916526</v>
      </c>
      <c r="Q109">
        <f t="shared" si="30"/>
        <v>132.02848694621059</v>
      </c>
      <c r="R109" s="4"/>
    </row>
    <row r="110" spans="2:18" x14ac:dyDescent="0.3">
      <c r="B110">
        <f t="shared" si="31"/>
        <v>0.96000000000000063</v>
      </c>
      <c r="C110">
        <f t="shared" si="19"/>
        <v>1.6655806477727797E-4</v>
      </c>
      <c r="D110" s="6">
        <f t="shared" si="17"/>
        <v>0.33333333333333331</v>
      </c>
      <c r="E110" s="6">
        <f t="shared" si="25"/>
        <v>0.375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292.16000000000014</v>
      </c>
      <c r="L110">
        <f t="shared" si="26"/>
        <v>30.130687999999566</v>
      </c>
      <c r="M110">
        <f t="shared" si="24"/>
        <v>0.37499356432391961</v>
      </c>
      <c r="N110">
        <f t="shared" si="27"/>
        <v>128.38999366422419</v>
      </c>
      <c r="O110">
        <f t="shared" si="28"/>
        <v>109.55811975287641</v>
      </c>
      <c r="P110">
        <f t="shared" si="29"/>
        <v>18.831873911347778</v>
      </c>
      <c r="Q110">
        <f t="shared" si="30"/>
        <v>128.38999366422419</v>
      </c>
      <c r="R110" s="4"/>
    </row>
    <row r="111" spans="2:18" x14ac:dyDescent="0.3">
      <c r="B111">
        <f t="shared" si="31"/>
        <v>0.97000000000000064</v>
      </c>
      <c r="C111">
        <f t="shared" si="19"/>
        <v>1.3637032707958241E-4</v>
      </c>
      <c r="D111" s="6">
        <f t="shared" si="17"/>
        <v>0.33333333333333331</v>
      </c>
      <c r="E111" s="6">
        <f t="shared" si="25"/>
        <v>0.375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294.09000000000015</v>
      </c>
      <c r="L111">
        <f t="shared" si="26"/>
        <v>22.941437999999494</v>
      </c>
      <c r="M111">
        <f t="shared" si="24"/>
        <v>0.37499471053325883</v>
      </c>
      <c r="N111">
        <f t="shared" si="27"/>
        <v>124.62071451869912</v>
      </c>
      <c r="O111">
        <f t="shared" si="28"/>
        <v>110.28219442072614</v>
      </c>
      <c r="P111">
        <f t="shared" si="29"/>
        <v>14.338520097972978</v>
      </c>
      <c r="Q111">
        <f t="shared" si="30"/>
        <v>124.62071451869912</v>
      </c>
      <c r="R111" s="4"/>
    </row>
    <row r="112" spans="2:18" x14ac:dyDescent="0.3">
      <c r="B112">
        <f t="shared" si="31"/>
        <v>0.98000000000000065</v>
      </c>
      <c r="C112">
        <f t="shared" si="19"/>
        <v>1.1165334062956944E-4</v>
      </c>
      <c r="D112" s="6">
        <f t="shared" si="17"/>
        <v>0.33333333333333331</v>
      </c>
      <c r="E112" s="6">
        <f t="shared" si="25"/>
        <v>0.375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296.04000000000013</v>
      </c>
      <c r="L112">
        <f t="shared" si="26"/>
        <v>15.526367999999508</v>
      </c>
      <c r="M112">
        <f t="shared" si="24"/>
        <v>0.37499565350154246</v>
      </c>
      <c r="N112">
        <f t="shared" si="27"/>
        <v>120.71776074793094</v>
      </c>
      <c r="O112">
        <f t="shared" si="28"/>
        <v>111.01371326259668</v>
      </c>
      <c r="P112">
        <f t="shared" si="29"/>
        <v>9.7040474853342555</v>
      </c>
      <c r="Q112">
        <f t="shared" si="30"/>
        <v>120.71776074793094</v>
      </c>
      <c r="R112" s="4"/>
    </row>
    <row r="113" spans="2:18" x14ac:dyDescent="0.3">
      <c r="B113">
        <f t="shared" si="31"/>
        <v>0.99000000000000066</v>
      </c>
      <c r="C113">
        <f t="shared" si="19"/>
        <v>9.1415873852196405E-5</v>
      </c>
      <c r="D113" s="6">
        <f t="shared" si="17"/>
        <v>0.33333333333333331</v>
      </c>
      <c r="E113" s="6">
        <f t="shared" si="25"/>
        <v>0.375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298.0100000000001</v>
      </c>
      <c r="L113">
        <f t="shared" si="26"/>
        <v>7.880797999999487</v>
      </c>
      <c r="M113">
        <f t="shared" si="24"/>
        <v>0.37499642906066077</v>
      </c>
      <c r="N113">
        <f t="shared" si="27"/>
        <v>116.67821271621884</v>
      </c>
      <c r="O113">
        <f t="shared" si="28"/>
        <v>111.75268582436756</v>
      </c>
      <c r="P113">
        <f t="shared" si="29"/>
        <v>4.9255268918512822</v>
      </c>
      <c r="Q113">
        <f t="shared" si="30"/>
        <v>116.67821271621884</v>
      </c>
      <c r="R113" s="4"/>
    </row>
    <row r="114" spans="2:18" x14ac:dyDescent="0.3">
      <c r="B114">
        <f t="shared" si="31"/>
        <v>1.0000000000000007</v>
      </c>
      <c r="C114">
        <f t="shared" si="19"/>
        <v>7.4846227510527719E-5</v>
      </c>
      <c r="D114" s="6">
        <f t="shared" si="17"/>
        <v>0.33333333333333331</v>
      </c>
      <c r="E114" s="6">
        <f t="shared" si="25"/>
        <v>0.375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300.00000000000011</v>
      </c>
      <c r="L114">
        <f t="shared" si="26"/>
        <v>-5.4001247917767614E-13</v>
      </c>
      <c r="M114">
        <f t="shared" si="24"/>
        <v>0.37499706677277123</v>
      </c>
      <c r="N114">
        <f t="shared" si="27"/>
        <v>112.49912003183107</v>
      </c>
      <c r="O114">
        <f t="shared" si="28"/>
        <v>112.49912003183141</v>
      </c>
      <c r="P114">
        <f t="shared" si="29"/>
        <v>-3.3750938346535537E-13</v>
      </c>
      <c r="Q114">
        <f t="shared" si="30"/>
        <v>112.49912003183107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4B63-39C0-4F34-9E1D-F9466AFF7B27}">
  <dimension ref="B1:R1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20</v>
      </c>
      <c r="C4" s="12">
        <v>50</v>
      </c>
      <c r="D4" s="12">
        <v>10</v>
      </c>
      <c r="E4" s="12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0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20</v>
      </c>
      <c r="C10" s="5">
        <f t="shared" ref="C10:E10" si="0">C4+C7</f>
        <v>50</v>
      </c>
      <c r="D10" s="5">
        <f t="shared" si="0"/>
        <v>10</v>
      </c>
      <c r="E10" s="5">
        <f t="shared" si="0"/>
        <v>30</v>
      </c>
      <c r="G10" s="10">
        <f>F7-0.5*D7-E7</f>
        <v>200</v>
      </c>
      <c r="K10" s="1">
        <v>1</v>
      </c>
      <c r="M10" s="1">
        <v>0.5</v>
      </c>
      <c r="N10" s="1">
        <v>0.65</v>
      </c>
      <c r="Q10" s="2" t="s">
        <v>22</v>
      </c>
      <c r="R10" s="9">
        <f>MAX(Q14:Q114)</f>
        <v>203.15834989697976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0.99998987000901918</v>
      </c>
      <c r="D14" s="6">
        <f t="shared" ref="D14:D77" si="1">$D$10/($D$10+$B$10)</f>
        <v>0.33333333333333331</v>
      </c>
      <c r="E14" s="6">
        <f>$E$10/($E$10+$C$10)</f>
        <v>0.375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200</v>
      </c>
      <c r="L14">
        <f>$G$10+I14</f>
        <v>200</v>
      </c>
      <c r="M14">
        <f>C14*D14^(1-EXP(-5*B14))+(1-C14)*E14</f>
        <v>0.999993668755637</v>
      </c>
      <c r="N14" s="3">
        <f>M14*K14+(1-M14)*L14</f>
        <v>200</v>
      </c>
      <c r="O14">
        <f>K14*M14</f>
        <v>199.99873375112739</v>
      </c>
      <c r="P14">
        <f>(1-M14)*L14</f>
        <v>1.2662488726000731E-3</v>
      </c>
      <c r="Q14">
        <f>P14+O14</f>
        <v>200</v>
      </c>
    </row>
    <row r="15" spans="2:18" x14ac:dyDescent="0.3">
      <c r="B15">
        <v>0.01</v>
      </c>
      <c r="C15">
        <f t="shared" ref="C15:C78" si="3">1-1/(1+EXP(-20*(B15-(($N$10+$M$10)/2))))</f>
        <v>0.99998762722882562</v>
      </c>
      <c r="D15" s="6">
        <f>$D$10/($D$10+$B$10)</f>
        <v>0.33333333333333331</v>
      </c>
      <c r="E15" s="6">
        <f>$E$10/($E$10+$C$10)</f>
        <v>0.375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200.01</v>
      </c>
      <c r="L15">
        <f>$G$10+I15</f>
        <v>199.99999800000001</v>
      </c>
      <c r="M15">
        <f t="shared" ref="M15:M78" si="8">C15*D15^(1-EXP(-5*B15))+(1-C15)*E15</f>
        <v>0.94782306807407024</v>
      </c>
      <c r="N15">
        <f>M15*K15+(1-M15)*L15</f>
        <v>200.00947812632688</v>
      </c>
      <c r="O15">
        <f>K15*M15</f>
        <v>189.57409184549479</v>
      </c>
      <c r="P15">
        <f>(1-M15)*L15</f>
        <v>10.435386280832088</v>
      </c>
      <c r="Q15">
        <f>P15+O15</f>
        <v>200.00947812632688</v>
      </c>
      <c r="R15" s="4"/>
    </row>
    <row r="16" spans="2:18" x14ac:dyDescent="0.3">
      <c r="B16">
        <f>B15+0.01</f>
        <v>0.02</v>
      </c>
      <c r="C16">
        <f t="shared" si="3"/>
        <v>0.99998488790455897</v>
      </c>
      <c r="D16" s="6">
        <f t="shared" si="1"/>
        <v>0.33333333333333331</v>
      </c>
      <c r="E16" s="6">
        <f t="shared" ref="E16:E79" si="9">$E$10/($E$10+$C$10)</f>
        <v>0.375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200.04</v>
      </c>
      <c r="L16">
        <f t="shared" ref="L16:L79" si="10">$G$10+I16</f>
        <v>199.999968</v>
      </c>
      <c r="M16">
        <f t="shared" si="8"/>
        <v>0.90072471345353466</v>
      </c>
      <c r="N16">
        <f t="shared" ref="N16:N79" si="11">M16*K16+(1-M16)*L16</f>
        <v>200.03602581172896</v>
      </c>
      <c r="O16">
        <f t="shared" ref="O16:O79" si="12">K16*M16</f>
        <v>180.18097167924506</v>
      </c>
      <c r="P16">
        <f t="shared" ref="P16:P79" si="13">(1-M16)*L16</f>
        <v>19.855054132483897</v>
      </c>
      <c r="Q16">
        <f t="shared" ref="Q16:Q79" si="14">P16+O16</f>
        <v>200.03602581172896</v>
      </c>
      <c r="R16" s="4"/>
    </row>
    <row r="17" spans="2:18" x14ac:dyDescent="0.3">
      <c r="B17">
        <f t="shared" ref="B17:B80" si="15">B16+0.01</f>
        <v>0.03</v>
      </c>
      <c r="C17">
        <f t="shared" si="3"/>
        <v>0.99998154210670431</v>
      </c>
      <c r="D17" s="6">
        <f t="shared" si="1"/>
        <v>0.33333333333333331</v>
      </c>
      <c r="E17" s="6">
        <f t="shared" si="9"/>
        <v>0.375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200.09</v>
      </c>
      <c r="L17">
        <f t="shared" si="10"/>
        <v>199.99983800000001</v>
      </c>
      <c r="M17">
        <f t="shared" si="8"/>
        <v>0.8580968384871549</v>
      </c>
      <c r="N17">
        <f t="shared" si="11"/>
        <v>200.07720572715166</v>
      </c>
      <c r="O17">
        <f t="shared" si="12"/>
        <v>171.69659641289482</v>
      </c>
      <c r="P17">
        <f t="shared" si="13"/>
        <v>28.380609314256855</v>
      </c>
      <c r="Q17">
        <f t="shared" si="14"/>
        <v>200.07720572715166</v>
      </c>
      <c r="R17" s="4"/>
    </row>
    <row r="18" spans="2:18" x14ac:dyDescent="0.3">
      <c r="B18">
        <f t="shared" si="15"/>
        <v>0.04</v>
      </c>
      <c r="C18">
        <f t="shared" si="3"/>
        <v>0.99997745557034956</v>
      </c>
      <c r="D18" s="6">
        <f t="shared" si="1"/>
        <v>0.33333333333333331</v>
      </c>
      <c r="E18" s="6">
        <f t="shared" si="9"/>
        <v>0.375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200.16</v>
      </c>
      <c r="L18">
        <f t="shared" si="10"/>
        <v>199.99948800000001</v>
      </c>
      <c r="M18">
        <f t="shared" si="8"/>
        <v>0.81942135732127941</v>
      </c>
      <c r="N18">
        <f t="shared" si="11"/>
        <v>200.13101496090636</v>
      </c>
      <c r="O18">
        <f t="shared" si="12"/>
        <v>164.0153788814273</v>
      </c>
      <c r="P18">
        <f t="shared" si="13"/>
        <v>36.115636079479067</v>
      </c>
      <c r="Q18">
        <f t="shared" si="14"/>
        <v>200.13101496090636</v>
      </c>
      <c r="R18" s="4"/>
    </row>
    <row r="19" spans="2:18" x14ac:dyDescent="0.3">
      <c r="B19">
        <f t="shared" si="15"/>
        <v>0.05</v>
      </c>
      <c r="C19">
        <f t="shared" si="3"/>
        <v>0.99997246430888542</v>
      </c>
      <c r="D19" s="6">
        <f t="shared" si="1"/>
        <v>0.33333333333333331</v>
      </c>
      <c r="E19" s="6">
        <f t="shared" si="9"/>
        <v>0.375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200.25</v>
      </c>
      <c r="L19">
        <f t="shared" si="10"/>
        <v>199.99875</v>
      </c>
      <c r="M19">
        <f t="shared" si="8"/>
        <v>0.78425069369039879</v>
      </c>
      <c r="N19">
        <f t="shared" si="11"/>
        <v>200.19579298678971</v>
      </c>
      <c r="O19">
        <f t="shared" si="12"/>
        <v>157.04620141150235</v>
      </c>
      <c r="P19">
        <f t="shared" si="13"/>
        <v>43.149591575287353</v>
      </c>
      <c r="Q19">
        <f t="shared" si="14"/>
        <v>200.19579298678971</v>
      </c>
      <c r="R19" s="4"/>
    </row>
    <row r="20" spans="2:18" x14ac:dyDescent="0.3">
      <c r="B20">
        <f t="shared" si="15"/>
        <v>6.0000000000000005E-2</v>
      </c>
      <c r="C20">
        <f t="shared" si="3"/>
        <v>0.99996636803596128</v>
      </c>
      <c r="D20" s="6">
        <f t="shared" si="1"/>
        <v>0.33333333333333331</v>
      </c>
      <c r="E20" s="6">
        <f t="shared" si="9"/>
        <v>0.375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200.36</v>
      </c>
      <c r="L20">
        <f t="shared" si="10"/>
        <v>199.99740800000001</v>
      </c>
      <c r="M20">
        <f t="shared" si="8"/>
        <v>0.75219690069222023</v>
      </c>
      <c r="N20">
        <f t="shared" si="11"/>
        <v>200.27014857861582</v>
      </c>
      <c r="O20">
        <f t="shared" si="12"/>
        <v>150.71017102269326</v>
      </c>
      <c r="P20">
        <f t="shared" si="13"/>
        <v>49.559977555922551</v>
      </c>
      <c r="Q20">
        <f t="shared" si="14"/>
        <v>200.27014857861582</v>
      </c>
      <c r="R20" s="4"/>
    </row>
    <row r="21" spans="2:18" x14ac:dyDescent="0.3">
      <c r="B21">
        <f t="shared" si="15"/>
        <v>7.0000000000000007E-2</v>
      </c>
      <c r="C21">
        <f t="shared" si="3"/>
        <v>0.99995892213223525</v>
      </c>
      <c r="D21" s="6">
        <f t="shared" si="1"/>
        <v>0.33333333333333331</v>
      </c>
      <c r="E21" s="6">
        <f t="shared" si="9"/>
        <v>0.375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200.49</v>
      </c>
      <c r="L21">
        <f t="shared" si="10"/>
        <v>199.99519799999999</v>
      </c>
      <c r="M21">
        <f t="shared" si="8"/>
        <v>0.72292263803617407</v>
      </c>
      <c r="N21">
        <f t="shared" si="11"/>
        <v>200.35290156714558</v>
      </c>
      <c r="O21">
        <f t="shared" si="12"/>
        <v>144.93875969987255</v>
      </c>
      <c r="P21">
        <f t="shared" si="13"/>
        <v>55.414141867273031</v>
      </c>
      <c r="Q21">
        <f t="shared" si="14"/>
        <v>200.35290156714558</v>
      </c>
      <c r="R21" s="4"/>
    </row>
    <row r="22" spans="2:18" x14ac:dyDescent="0.3">
      <c r="B22">
        <f t="shared" si="15"/>
        <v>0.08</v>
      </c>
      <c r="C22">
        <f t="shared" si="3"/>
        <v>0.99994982783531627</v>
      </c>
      <c r="D22" s="6">
        <f t="shared" si="1"/>
        <v>0.33333333333333331</v>
      </c>
      <c r="E22" s="6">
        <f t="shared" si="9"/>
        <v>0.375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200.64</v>
      </c>
      <c r="L22">
        <f t="shared" si="10"/>
        <v>199.99180799999999</v>
      </c>
      <c r="M22">
        <f t="shared" si="8"/>
        <v>0.69613366158039547</v>
      </c>
      <c r="N22">
        <f t="shared" si="11"/>
        <v>200.44303627036712</v>
      </c>
      <c r="O22">
        <f t="shared" si="12"/>
        <v>139.67225785949054</v>
      </c>
      <c r="P22">
        <f t="shared" si="13"/>
        <v>60.770778410876574</v>
      </c>
      <c r="Q22">
        <f t="shared" si="14"/>
        <v>200.44303627036712</v>
      </c>
      <c r="R22" s="4"/>
    </row>
    <row r="23" spans="2:18" x14ac:dyDescent="0.3">
      <c r="B23">
        <f t="shared" si="15"/>
        <v>0.09</v>
      </c>
      <c r="C23">
        <f t="shared" si="3"/>
        <v>0.99993872026038344</v>
      </c>
      <c r="D23" s="6">
        <f t="shared" si="1"/>
        <v>0.33333333333333331</v>
      </c>
      <c r="E23" s="6">
        <f t="shared" si="9"/>
        <v>0.375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200.81</v>
      </c>
      <c r="L23">
        <f t="shared" si="10"/>
        <v>199.98687799999999</v>
      </c>
      <c r="M23">
        <f t="shared" si="8"/>
        <v>0.6715725489783011</v>
      </c>
      <c r="N23">
        <f t="shared" si="11"/>
        <v>200.53966413966012</v>
      </c>
      <c r="O23">
        <f t="shared" si="12"/>
        <v>134.85848356033264</v>
      </c>
      <c r="P23">
        <f t="shared" si="13"/>
        <v>65.681180579327474</v>
      </c>
      <c r="Q23">
        <f t="shared" si="14"/>
        <v>200.53966413966012</v>
      </c>
      <c r="R23" s="4"/>
    </row>
    <row r="24" spans="2:18" x14ac:dyDescent="0.3">
      <c r="B24">
        <f t="shared" si="15"/>
        <v>9.9999999999999992E-2</v>
      </c>
      <c r="C24">
        <f t="shared" si="3"/>
        <v>0.99992515377248936</v>
      </c>
      <c r="D24" s="6">
        <f t="shared" si="1"/>
        <v>0.33333333333333331</v>
      </c>
      <c r="E24" s="6">
        <f t="shared" si="9"/>
        <v>0.375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201</v>
      </c>
      <c r="L24">
        <f t="shared" si="10"/>
        <v>199.98</v>
      </c>
      <c r="M24">
        <f t="shared" si="8"/>
        <v>0.64901343955649948</v>
      </c>
      <c r="N24">
        <f t="shared" si="11"/>
        <v>200.64199370834763</v>
      </c>
      <c r="O24">
        <f t="shared" si="12"/>
        <v>130.45170135085638</v>
      </c>
      <c r="P24">
        <f t="shared" si="13"/>
        <v>70.190292357491231</v>
      </c>
      <c r="Q24">
        <f t="shared" si="14"/>
        <v>200.64199370834763</v>
      </c>
      <c r="R24" s="4"/>
    </row>
    <row r="25" spans="2:18" x14ac:dyDescent="0.3">
      <c r="B25">
        <f t="shared" si="15"/>
        <v>0.10999999999999999</v>
      </c>
      <c r="C25">
        <f t="shared" si="3"/>
        <v>0.9999085841261478</v>
      </c>
      <c r="D25" s="6">
        <f t="shared" si="1"/>
        <v>0.33333333333333331</v>
      </c>
      <c r="E25" s="6">
        <f t="shared" si="9"/>
        <v>0.375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201.21</v>
      </c>
      <c r="L25">
        <f t="shared" si="10"/>
        <v>199.97071800000001</v>
      </c>
      <c r="M25">
        <f t="shared" si="8"/>
        <v>0.62825760945820663</v>
      </c>
      <c r="N25">
        <f t="shared" si="11"/>
        <v>200.74930634676457</v>
      </c>
      <c r="O25">
        <f t="shared" si="12"/>
        <v>126.41171359908576</v>
      </c>
      <c r="P25">
        <f t="shared" si="13"/>
        <v>74.337592747678826</v>
      </c>
      <c r="Q25">
        <f t="shared" si="14"/>
        <v>200.74930634676457</v>
      </c>
      <c r="R25" s="4"/>
    </row>
    <row r="26" spans="2:18" x14ac:dyDescent="0.3">
      <c r="B26">
        <f t="shared" si="15"/>
        <v>0.11999999999999998</v>
      </c>
      <c r="C26">
        <f t="shared" si="3"/>
        <v>0.99988834665937043</v>
      </c>
      <c r="D26" s="6">
        <f t="shared" si="1"/>
        <v>0.33333333333333331</v>
      </c>
      <c r="E26" s="6">
        <f t="shared" si="9"/>
        <v>0.375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201.44</v>
      </c>
      <c r="L26">
        <f t="shared" si="10"/>
        <v>199.958528</v>
      </c>
      <c r="M26">
        <f t="shared" si="8"/>
        <v>0.6091297371404174</v>
      </c>
      <c r="N26">
        <f t="shared" si="11"/>
        <v>200.86093664994087</v>
      </c>
      <c r="O26">
        <f t="shared" si="12"/>
        <v>122.70309424956568</v>
      </c>
      <c r="P26">
        <f t="shared" si="13"/>
        <v>78.157842400375202</v>
      </c>
      <c r="Q26">
        <f t="shared" si="14"/>
        <v>200.86093664994087</v>
      </c>
      <c r="R26" s="4"/>
    </row>
    <row r="27" spans="2:18" x14ac:dyDescent="0.3">
      <c r="B27">
        <f t="shared" si="15"/>
        <v>0.12999999999999998</v>
      </c>
      <c r="C27">
        <f t="shared" si="3"/>
        <v>0.99986362967292053</v>
      </c>
      <c r="D27" s="6">
        <f t="shared" si="1"/>
        <v>0.33333333333333331</v>
      </c>
      <c r="E27" s="6">
        <f t="shared" si="9"/>
        <v>0.375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201.69</v>
      </c>
      <c r="L27">
        <f t="shared" si="10"/>
        <v>199.94287800000001</v>
      </c>
      <c r="M27">
        <f t="shared" si="8"/>
        <v>0.59147474144711809</v>
      </c>
      <c r="N27">
        <f t="shared" si="11"/>
        <v>200.97625653322655</v>
      </c>
      <c r="O27">
        <f t="shared" si="12"/>
        <v>119.29454060246924</v>
      </c>
      <c r="P27">
        <f t="shared" si="13"/>
        <v>81.681715930757321</v>
      </c>
      <c r="Q27">
        <f t="shared" si="14"/>
        <v>200.97625653322655</v>
      </c>
      <c r="R27" s="4"/>
    </row>
    <row r="28" spans="2:18" x14ac:dyDescent="0.3">
      <c r="B28">
        <f t="shared" si="15"/>
        <v>0.13999999999999999</v>
      </c>
      <c r="C28">
        <f t="shared" si="3"/>
        <v>0.99983344193522261</v>
      </c>
      <c r="D28" s="6">
        <f t="shared" si="1"/>
        <v>0.33333333333333331</v>
      </c>
      <c r="E28" s="6">
        <f t="shared" si="9"/>
        <v>0.375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201.96</v>
      </c>
      <c r="L28">
        <f t="shared" si="10"/>
        <v>199.923168</v>
      </c>
      <c r="M28">
        <f t="shared" si="8"/>
        <v>0.57515509618640515</v>
      </c>
      <c r="N28">
        <f t="shared" si="11"/>
        <v>201.09466230487556</v>
      </c>
      <c r="O28">
        <f t="shared" si="12"/>
        <v>116.15832322580638</v>
      </c>
      <c r="P28">
        <f t="shared" si="13"/>
        <v>84.936339079069171</v>
      </c>
      <c r="Q28">
        <f t="shared" si="14"/>
        <v>201.09466230487556</v>
      </c>
      <c r="R28" s="4"/>
    </row>
    <row r="29" spans="2:18" x14ac:dyDescent="0.3">
      <c r="B29">
        <f t="shared" si="15"/>
        <v>0.15</v>
      </c>
      <c r="C29">
        <f t="shared" si="3"/>
        <v>0.9997965730219448</v>
      </c>
      <c r="D29" s="6">
        <f t="shared" si="1"/>
        <v>0.33333333333333331</v>
      </c>
      <c r="E29" s="6">
        <f t="shared" si="9"/>
        <v>0.375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202.25</v>
      </c>
      <c r="L29">
        <f t="shared" si="10"/>
        <v>199.89875000000001</v>
      </c>
      <c r="M29">
        <f t="shared" si="8"/>
        <v>0.56004854256945369</v>
      </c>
      <c r="N29">
        <f t="shared" si="11"/>
        <v>201.21556413571642</v>
      </c>
      <c r="O29">
        <f t="shared" si="12"/>
        <v>113.269817734672</v>
      </c>
      <c r="P29">
        <f t="shared" si="13"/>
        <v>87.945746401044417</v>
      </c>
      <c r="Q29">
        <f t="shared" si="14"/>
        <v>201.21556413571642</v>
      </c>
      <c r="R29" s="4"/>
    </row>
    <row r="30" spans="2:18" x14ac:dyDescent="0.3">
      <c r="B30">
        <f t="shared" si="15"/>
        <v>0.16</v>
      </c>
      <c r="C30">
        <f t="shared" si="3"/>
        <v>0.99975154491816065</v>
      </c>
      <c r="D30" s="6">
        <f t="shared" si="1"/>
        <v>0.33333333333333331</v>
      </c>
      <c r="E30" s="6">
        <f t="shared" si="9"/>
        <v>0.375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202.56</v>
      </c>
      <c r="L30">
        <f t="shared" si="10"/>
        <v>199.86892800000001</v>
      </c>
      <c r="M30">
        <f t="shared" si="8"/>
        <v>0.5460461349187673</v>
      </c>
      <c r="N30">
        <f t="shared" si="11"/>
        <v>201.33837746438812</v>
      </c>
      <c r="O30">
        <f t="shared" si="12"/>
        <v>110.60710508914551</v>
      </c>
      <c r="P30">
        <f t="shared" si="13"/>
        <v>90.731272375242611</v>
      </c>
      <c r="Q30">
        <f t="shared" si="14"/>
        <v>201.33837746438812</v>
      </c>
      <c r="R30" s="4"/>
    </row>
    <row r="31" spans="2:18" x14ac:dyDescent="0.3">
      <c r="B31">
        <f t="shared" si="15"/>
        <v>0.17</v>
      </c>
      <c r="C31">
        <f t="shared" si="3"/>
        <v>0.99969655296997106</v>
      </c>
      <c r="D31" s="6">
        <f t="shared" si="1"/>
        <v>0.33333333333333331</v>
      </c>
      <c r="E31" s="6">
        <f t="shared" si="9"/>
        <v>0.375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202.89</v>
      </c>
      <c r="L31">
        <f t="shared" si="10"/>
        <v>199.83295799999999</v>
      </c>
      <c r="M31">
        <f t="shared" si="8"/>
        <v>0.53305056641960069</v>
      </c>
      <c r="N31">
        <f t="shared" si="11"/>
        <v>201.46251596966852</v>
      </c>
      <c r="O31">
        <f t="shared" si="12"/>
        <v>108.15062942087278</v>
      </c>
      <c r="P31">
        <f t="shared" si="13"/>
        <v>93.311886548795727</v>
      </c>
      <c r="Q31">
        <f t="shared" si="14"/>
        <v>201.46251596966852</v>
      </c>
      <c r="R31" s="4"/>
    </row>
    <row r="32" spans="2:18" x14ac:dyDescent="0.3">
      <c r="B32">
        <f t="shared" si="15"/>
        <v>0.18000000000000002</v>
      </c>
      <c r="C32">
        <f t="shared" si="3"/>
        <v>0.99962939385937355</v>
      </c>
      <c r="D32" s="6">
        <f t="shared" si="1"/>
        <v>0.33333333333333331</v>
      </c>
      <c r="E32" s="6">
        <f t="shared" si="9"/>
        <v>0.375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203.24</v>
      </c>
      <c r="L32">
        <f t="shared" si="10"/>
        <v>199.79004800000001</v>
      </c>
      <c r="M32">
        <f t="shared" si="8"/>
        <v>0.52097473091781676</v>
      </c>
      <c r="N32">
        <f t="shared" si="11"/>
        <v>201.58738581487938</v>
      </c>
      <c r="O32">
        <f t="shared" si="12"/>
        <v>105.88290431173708</v>
      </c>
      <c r="P32">
        <f t="shared" si="13"/>
        <v>95.704481503142304</v>
      </c>
      <c r="Q32">
        <f t="shared" si="14"/>
        <v>201.58738581487938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0.9995473777767595</v>
      </c>
      <c r="D33" s="6">
        <f t="shared" si="1"/>
        <v>0.33333333333333331</v>
      </c>
      <c r="E33" s="6">
        <f t="shared" si="9"/>
        <v>0.375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203.61</v>
      </c>
      <c r="L33">
        <f t="shared" si="10"/>
        <v>199.73935800000001</v>
      </c>
      <c r="M33">
        <f t="shared" si="8"/>
        <v>0.50974048428874319</v>
      </c>
      <c r="N33">
        <f t="shared" si="11"/>
        <v>201.71238092758836</v>
      </c>
      <c r="O33">
        <f t="shared" si="12"/>
        <v>103.78826000603101</v>
      </c>
      <c r="P33">
        <f t="shared" si="13"/>
        <v>97.92412092155736</v>
      </c>
      <c r="Q33">
        <f t="shared" si="14"/>
        <v>201.71238092758836</v>
      </c>
      <c r="R33" s="4"/>
    </row>
    <row r="34" spans="2:18" x14ac:dyDescent="0.3">
      <c r="B34">
        <f t="shared" si="15"/>
        <v>0.20000000000000004</v>
      </c>
      <c r="C34">
        <f t="shared" si="3"/>
        <v>0.9994472213630764</v>
      </c>
      <c r="D34" s="6">
        <f t="shared" si="1"/>
        <v>0.33333333333333331</v>
      </c>
      <c r="E34" s="6">
        <f t="shared" si="9"/>
        <v>0.375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204</v>
      </c>
      <c r="L34">
        <f t="shared" si="10"/>
        <v>199.68</v>
      </c>
      <c r="M34">
        <f t="shared" si="8"/>
        <v>0.49927757505330911</v>
      </c>
      <c r="N34">
        <f t="shared" si="11"/>
        <v>201.83687912423028</v>
      </c>
      <c r="O34">
        <f t="shared" si="12"/>
        <v>101.85262531087506</v>
      </c>
      <c r="P34">
        <f t="shared" si="13"/>
        <v>99.984253813355224</v>
      </c>
      <c r="Q34">
        <f t="shared" si="14"/>
        <v>201.83687912423028</v>
      </c>
      <c r="R34" s="4"/>
    </row>
    <row r="35" spans="2:18" x14ac:dyDescent="0.3">
      <c r="B35">
        <f t="shared" si="15"/>
        <v>0.21000000000000005</v>
      </c>
      <c r="C35">
        <f t="shared" si="3"/>
        <v>0.99932491726936712</v>
      </c>
      <c r="D35" s="6">
        <f t="shared" si="1"/>
        <v>0.33333333333333331</v>
      </c>
      <c r="E35" s="6">
        <f t="shared" si="9"/>
        <v>0.375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204.41</v>
      </c>
      <c r="L35">
        <f t="shared" si="10"/>
        <v>199.61103800000001</v>
      </c>
      <c r="M35">
        <f t="shared" si="8"/>
        <v>0.48952271896803945</v>
      </c>
      <c r="N35">
        <f t="shared" si="11"/>
        <v>201.96023892646429</v>
      </c>
      <c r="O35">
        <f t="shared" si="12"/>
        <v>100.06333898425694</v>
      </c>
      <c r="P35">
        <f t="shared" si="13"/>
        <v>101.89689994220736</v>
      </c>
      <c r="Q35">
        <f t="shared" si="14"/>
        <v>201.96023892646429</v>
      </c>
      <c r="R35" s="4"/>
    </row>
    <row r="36" spans="2:18" x14ac:dyDescent="0.3">
      <c r="B36">
        <f t="shared" si="15"/>
        <v>0.22000000000000006</v>
      </c>
      <c r="C36">
        <f t="shared" si="3"/>
        <v>0.99917557531360168</v>
      </c>
      <c r="D36" s="6">
        <f t="shared" si="1"/>
        <v>0.33333333333333331</v>
      </c>
      <c r="E36" s="6">
        <f t="shared" si="9"/>
        <v>0.375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204.84</v>
      </c>
      <c r="L36">
        <f t="shared" si="10"/>
        <v>199.531488</v>
      </c>
      <c r="M36">
        <f t="shared" si="8"/>
        <v>0.48041879647765762</v>
      </c>
      <c r="N36">
        <f t="shared" si="11"/>
        <v>202.08179694612721</v>
      </c>
      <c r="O36">
        <f t="shared" si="12"/>
        <v>98.408986270483382</v>
      </c>
      <c r="P36">
        <f t="shared" si="13"/>
        <v>103.67281067564382</v>
      </c>
      <c r="Q36">
        <f t="shared" si="14"/>
        <v>202.08179694612721</v>
      </c>
      <c r="R36" s="4"/>
    </row>
    <row r="37" spans="2:18" x14ac:dyDescent="0.3">
      <c r="B37">
        <f t="shared" si="15"/>
        <v>0.23000000000000007</v>
      </c>
      <c r="C37">
        <f t="shared" si="3"/>
        <v>0.9989932291799144</v>
      </c>
      <c r="D37" s="6">
        <f t="shared" si="1"/>
        <v>0.33333333333333331</v>
      </c>
      <c r="E37" s="6">
        <f t="shared" si="9"/>
        <v>0.375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205.29</v>
      </c>
      <c r="L37">
        <f t="shared" si="10"/>
        <v>199.44031799999999</v>
      </c>
      <c r="M37">
        <f t="shared" si="8"/>
        <v>0.47191415536354087</v>
      </c>
      <c r="N37">
        <f t="shared" si="11"/>
        <v>202.20086574017529</v>
      </c>
      <c r="O37">
        <f t="shared" si="12"/>
        <v>96.879256954581294</v>
      </c>
      <c r="P37">
        <f t="shared" si="13"/>
        <v>105.32160878559399</v>
      </c>
      <c r="Q37">
        <f t="shared" si="14"/>
        <v>202.20086574017529</v>
      </c>
      <c r="R37" s="4"/>
    </row>
    <row r="38" spans="2:18" x14ac:dyDescent="0.3">
      <c r="B38">
        <f t="shared" si="15"/>
        <v>0.24000000000000007</v>
      </c>
      <c r="C38">
        <f t="shared" si="3"/>
        <v>0.99877060137872253</v>
      </c>
      <c r="D38" s="6">
        <f t="shared" si="1"/>
        <v>0.33333333333333331</v>
      </c>
      <c r="E38" s="6">
        <f t="shared" si="9"/>
        <v>0.375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205.76</v>
      </c>
      <c r="L38">
        <f t="shared" si="10"/>
        <v>199.33644799999999</v>
      </c>
      <c r="M38">
        <f t="shared" si="8"/>
        <v>0.46396200378482311</v>
      </c>
      <c r="N38">
        <f t="shared" si="11"/>
        <v>202.316732057336</v>
      </c>
      <c r="O38">
        <f t="shared" si="12"/>
        <v>95.464821898765194</v>
      </c>
      <c r="P38">
        <f t="shared" si="13"/>
        <v>106.8519101585708</v>
      </c>
      <c r="Q38">
        <f t="shared" si="14"/>
        <v>202.316732057336</v>
      </c>
      <c r="R38" s="4"/>
    </row>
    <row r="39" spans="2:18" x14ac:dyDescent="0.3">
      <c r="B39">
        <f t="shared" si="15"/>
        <v>0.25000000000000006</v>
      </c>
      <c r="C39">
        <f t="shared" si="3"/>
        <v>0.99849881774326299</v>
      </c>
      <c r="D39" s="6">
        <f t="shared" si="1"/>
        <v>0.33333333333333331</v>
      </c>
      <c r="E39" s="6">
        <f t="shared" si="9"/>
        <v>0.375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206.25</v>
      </c>
      <c r="L39">
        <f t="shared" si="10"/>
        <v>199.21875</v>
      </c>
      <c r="M39">
        <f t="shared" si="8"/>
        <v>0.45651988130185212</v>
      </c>
      <c r="N39">
        <f t="shared" si="11"/>
        <v>202.42865541540368</v>
      </c>
      <c r="O39">
        <f t="shared" si="12"/>
        <v>94.157225518507005</v>
      </c>
      <c r="P39">
        <f t="shared" si="13"/>
        <v>108.27142989689666</v>
      </c>
      <c r="Q39">
        <f t="shared" si="14"/>
        <v>202.42865541540368</v>
      </c>
      <c r="R39" s="4"/>
    </row>
    <row r="40" spans="2:18" x14ac:dyDescent="0.3">
      <c r="B40">
        <f t="shared" si="15"/>
        <v>0.26000000000000006</v>
      </c>
      <c r="C40">
        <f t="shared" si="3"/>
        <v>0.99816706105750719</v>
      </c>
      <c r="D40" s="6">
        <f t="shared" si="1"/>
        <v>0.33333333333333331</v>
      </c>
      <c r="E40" s="6">
        <f t="shared" si="9"/>
        <v>0.375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206.76</v>
      </c>
      <c r="L40">
        <f t="shared" si="10"/>
        <v>199.08604800000001</v>
      </c>
      <c r="M40">
        <f t="shared" si="8"/>
        <v>0.44954919748334737</v>
      </c>
      <c r="N40">
        <f t="shared" si="11"/>
        <v>202.53586696312573</v>
      </c>
      <c r="O40">
        <f t="shared" si="12"/>
        <v>92.948792071656896</v>
      </c>
      <c r="P40">
        <f t="shared" si="13"/>
        <v>109.58707489146882</v>
      </c>
      <c r="Q40">
        <f t="shared" si="14"/>
        <v>202.53586696312573</v>
      </c>
      <c r="R40" s="4"/>
    </row>
    <row r="41" spans="2:18" x14ac:dyDescent="0.3">
      <c r="B41">
        <f t="shared" si="15"/>
        <v>0.27000000000000007</v>
      </c>
      <c r="C41">
        <f t="shared" si="3"/>
        <v>0.99776215147872371</v>
      </c>
      <c r="D41" s="6">
        <f t="shared" si="1"/>
        <v>0.33333333333333331</v>
      </c>
      <c r="E41" s="6">
        <f t="shared" si="9"/>
        <v>0.375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207.29</v>
      </c>
      <c r="L41">
        <f t="shared" si="10"/>
        <v>198.937118</v>
      </c>
      <c r="M41">
        <f t="shared" si="8"/>
        <v>0.44301482940175718</v>
      </c>
      <c r="N41">
        <f t="shared" si="11"/>
        <v>202.63756859424302</v>
      </c>
      <c r="O41">
        <f t="shared" si="12"/>
        <v>91.83254398669024</v>
      </c>
      <c r="P41">
        <f t="shared" si="13"/>
        <v>110.80502460755277</v>
      </c>
      <c r="Q41">
        <f t="shared" si="14"/>
        <v>202.63756859424302</v>
      </c>
      <c r="R41" s="4"/>
    </row>
    <row r="42" spans="2:18" x14ac:dyDescent="0.3">
      <c r="B42">
        <f t="shared" si="15"/>
        <v>0.28000000000000008</v>
      </c>
      <c r="C42">
        <f t="shared" si="3"/>
        <v>0.99726803923698892</v>
      </c>
      <c r="D42" s="6">
        <f t="shared" si="1"/>
        <v>0.33333333333333331</v>
      </c>
      <c r="E42" s="6">
        <f t="shared" si="9"/>
        <v>0.375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207.84</v>
      </c>
      <c r="L42">
        <f t="shared" si="10"/>
        <v>198.77068800000001</v>
      </c>
      <c r="M42">
        <f t="shared" si="8"/>
        <v>0.4368847707755345</v>
      </c>
      <c r="N42">
        <f t="shared" si="11"/>
        <v>202.73293229421179</v>
      </c>
      <c r="O42">
        <f t="shared" si="12"/>
        <v>90.802130757987086</v>
      </c>
      <c r="P42">
        <f t="shared" si="13"/>
        <v>111.93080153622471</v>
      </c>
      <c r="Q42">
        <f t="shared" si="14"/>
        <v>202.73293229421179</v>
      </c>
      <c r="R42" s="4"/>
    </row>
    <row r="43" spans="2:18" x14ac:dyDescent="0.3">
      <c r="B43">
        <f t="shared" si="15"/>
        <v>0.29000000000000009</v>
      </c>
      <c r="C43">
        <f t="shared" si="3"/>
        <v>0.99666519269258669</v>
      </c>
      <c r="D43" s="6">
        <f t="shared" si="1"/>
        <v>0.33333333333333331</v>
      </c>
      <c r="E43" s="6">
        <f t="shared" si="9"/>
        <v>0.375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208.41</v>
      </c>
      <c r="L43">
        <f t="shared" si="10"/>
        <v>198.58543800000001</v>
      </c>
      <c r="M43">
        <f t="shared" si="8"/>
        <v>0.43112982677114375</v>
      </c>
      <c r="N43">
        <f t="shared" si="11"/>
        <v>202.82109971316237</v>
      </c>
      <c r="O43">
        <f t="shared" si="12"/>
        <v>89.851767197374073</v>
      </c>
      <c r="P43">
        <f t="shared" si="13"/>
        <v>112.9693325157883</v>
      </c>
      <c r="Q43">
        <f t="shared" si="14"/>
        <v>202.82109971316237</v>
      </c>
      <c r="R43" s="4"/>
    </row>
    <row r="44" spans="2:18" x14ac:dyDescent="0.3">
      <c r="B44">
        <f t="shared" si="15"/>
        <v>0.3000000000000001</v>
      </c>
      <c r="C44">
        <f t="shared" si="3"/>
        <v>0.99592986228410385</v>
      </c>
      <c r="D44" s="6">
        <f t="shared" si="1"/>
        <v>0.33333333333333331</v>
      </c>
      <c r="E44" s="6">
        <f t="shared" si="9"/>
        <v>0.375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209</v>
      </c>
      <c r="L44">
        <f t="shared" si="10"/>
        <v>198.38</v>
      </c>
      <c r="M44">
        <f t="shared" si="8"/>
        <v>0.42572334957145314</v>
      </c>
      <c r="N44">
        <f t="shared" si="11"/>
        <v>202.90118197244882</v>
      </c>
      <c r="O44">
        <f t="shared" si="12"/>
        <v>88.976180060433705</v>
      </c>
      <c r="P44">
        <f t="shared" si="13"/>
        <v>113.92500191201512</v>
      </c>
      <c r="Q44">
        <f t="shared" si="14"/>
        <v>202.90118197244882</v>
      </c>
      <c r="R44" s="4"/>
    </row>
    <row r="45" spans="2:18" x14ac:dyDescent="0.3">
      <c r="B45">
        <f t="shared" si="15"/>
        <v>0.31000000000000011</v>
      </c>
      <c r="C45">
        <f t="shared" si="3"/>
        <v>0.99503319834994297</v>
      </c>
      <c r="D45" s="6">
        <f t="shared" si="1"/>
        <v>0.33333333333333331</v>
      </c>
      <c r="E45" s="6">
        <f t="shared" si="9"/>
        <v>0.375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209.61</v>
      </c>
      <c r="L45">
        <f t="shared" si="10"/>
        <v>198.15295799999998</v>
      </c>
      <c r="M45">
        <f t="shared" si="8"/>
        <v>0.42064101078282645</v>
      </c>
      <c r="N45">
        <f t="shared" si="11"/>
        <v>202.97225972746128</v>
      </c>
      <c r="O45">
        <f t="shared" si="12"/>
        <v>88.170562270188256</v>
      </c>
      <c r="P45">
        <f t="shared" si="13"/>
        <v>114.80169745727304</v>
      </c>
      <c r="Q45">
        <f t="shared" si="14"/>
        <v>202.97225972746128</v>
      </c>
      <c r="R45" s="7"/>
    </row>
    <row r="46" spans="2:18" x14ac:dyDescent="0.3">
      <c r="B46">
        <f t="shared" si="15"/>
        <v>0.32000000000000012</v>
      </c>
      <c r="C46">
        <f t="shared" si="3"/>
        <v>0.99394019850841586</v>
      </c>
      <c r="D46" s="6">
        <f t="shared" si="1"/>
        <v>0.33333333333333331</v>
      </c>
      <c r="E46" s="6">
        <f t="shared" si="9"/>
        <v>0.375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210.24</v>
      </c>
      <c r="L46">
        <f t="shared" si="10"/>
        <v>197.90284800000001</v>
      </c>
      <c r="M46">
        <f t="shared" si="8"/>
        <v>0.41586060761536725</v>
      </c>
      <c r="N46">
        <f t="shared" si="11"/>
        <v>203.03338352696318</v>
      </c>
      <c r="O46">
        <f t="shared" si="12"/>
        <v>87.430534145054821</v>
      </c>
      <c r="P46">
        <f t="shared" si="13"/>
        <v>115.60284938190834</v>
      </c>
      <c r="Q46">
        <f t="shared" si="14"/>
        <v>203.03338352696318</v>
      </c>
      <c r="R46" s="4"/>
    </row>
    <row r="47" spans="2:18" x14ac:dyDescent="0.3">
      <c r="B47">
        <f t="shared" si="15"/>
        <v>0.33000000000000013</v>
      </c>
      <c r="C47">
        <f t="shared" si="3"/>
        <v>0.99260845865571801</v>
      </c>
      <c r="D47" s="6">
        <f t="shared" si="1"/>
        <v>0.33333333333333331</v>
      </c>
      <c r="E47" s="6">
        <f t="shared" si="9"/>
        <v>0.375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210.89000000000001</v>
      </c>
      <c r="L47">
        <f t="shared" si="10"/>
        <v>197.62815799999998</v>
      </c>
      <c r="M47">
        <f t="shared" si="8"/>
        <v>0.41136190054627392</v>
      </c>
      <c r="N47">
        <f t="shared" si="11"/>
        <v>203.08357452986439</v>
      </c>
      <c r="O47">
        <f t="shared" si="12"/>
        <v>86.752111206203708</v>
      </c>
      <c r="P47">
        <f t="shared" si="13"/>
        <v>116.3314633236607</v>
      </c>
      <c r="Q47">
        <f t="shared" si="14"/>
        <v>203.08357452986439</v>
      </c>
      <c r="R47" s="4"/>
    </row>
    <row r="48" spans="2:18" x14ac:dyDescent="0.3">
      <c r="B48">
        <f t="shared" si="15"/>
        <v>0.34000000000000014</v>
      </c>
      <c r="C48">
        <f t="shared" si="3"/>
        <v>0.99098670134715217</v>
      </c>
      <c r="D48" s="6">
        <f t="shared" si="1"/>
        <v>0.33333333333333331</v>
      </c>
      <c r="E48" s="6">
        <f t="shared" si="9"/>
        <v>0.375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211.56</v>
      </c>
      <c r="L48">
        <f t="shared" si="10"/>
        <v>197.32732799999999</v>
      </c>
      <c r="M48">
        <f t="shared" si="8"/>
        <v>0.40712648087282099</v>
      </c>
      <c r="N48">
        <f t="shared" si="11"/>
        <v>203.12182566477713</v>
      </c>
      <c r="O48">
        <f t="shared" si="12"/>
        <v>86.131678293454016</v>
      </c>
      <c r="P48">
        <f t="shared" si="13"/>
        <v>116.99014737132312</v>
      </c>
      <c r="Q48">
        <f t="shared" si="14"/>
        <v>203.12182566477713</v>
      </c>
      <c r="R48" s="4"/>
    </row>
    <row r="49" spans="2:18" x14ac:dyDescent="0.3">
      <c r="B49">
        <f t="shared" si="15"/>
        <v>0.35000000000000014</v>
      </c>
      <c r="C49">
        <f t="shared" si="3"/>
        <v>0.98901305736940681</v>
      </c>
      <c r="D49" s="6">
        <f t="shared" si="1"/>
        <v>0.33333333333333331</v>
      </c>
      <c r="E49" s="6">
        <f t="shared" si="9"/>
        <v>0.375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212.25</v>
      </c>
      <c r="L49">
        <f t="shared" si="10"/>
        <v>196.99875</v>
      </c>
      <c r="M49">
        <f t="shared" si="8"/>
        <v>0.40313766717494937</v>
      </c>
      <c r="N49">
        <f t="shared" si="11"/>
        <v>203.14710334650195</v>
      </c>
      <c r="O49">
        <f t="shared" si="12"/>
        <v>85.565969857883005</v>
      </c>
      <c r="P49">
        <f t="shared" si="13"/>
        <v>117.58113348861895</v>
      </c>
      <c r="Q49">
        <f t="shared" si="14"/>
        <v>203.14710334650195</v>
      </c>
      <c r="R49" s="4"/>
    </row>
    <row r="50" spans="2:18" x14ac:dyDescent="0.3">
      <c r="B50" s="13">
        <f t="shared" si="15"/>
        <v>0.36000000000000015</v>
      </c>
      <c r="C50" s="13">
        <f t="shared" si="3"/>
        <v>0.98661308217233512</v>
      </c>
      <c r="D50" s="14">
        <f t="shared" si="1"/>
        <v>0.33333333333333331</v>
      </c>
      <c r="E50" s="14">
        <f t="shared" si="9"/>
        <v>0.375</v>
      </c>
      <c r="F50" s="15">
        <f t="shared" si="4"/>
        <v>6.4800000000000052E-2</v>
      </c>
      <c r="G50" s="15">
        <f t="shared" si="5"/>
        <v>-1.6796160000000025E-2</v>
      </c>
      <c r="H50" s="13">
        <f t="shared" si="16"/>
        <v>12.96000000000001</v>
      </c>
      <c r="I50" s="13">
        <f t="shared" si="16"/>
        <v>-3.3592320000000049</v>
      </c>
      <c r="J50" s="13">
        <f t="shared" si="6"/>
        <v>9.6007680000000057</v>
      </c>
      <c r="K50" s="13">
        <f t="shared" si="7"/>
        <v>212.96</v>
      </c>
      <c r="L50" s="13">
        <f t="shared" si="10"/>
        <v>196.64076800000001</v>
      </c>
      <c r="M50" s="13">
        <f t="shared" si="8"/>
        <v>0.39938043021753267</v>
      </c>
      <c r="N50" s="13">
        <f t="shared" si="11"/>
        <v>203.15834989697976</v>
      </c>
      <c r="O50" s="13">
        <f t="shared" si="12"/>
        <v>85.052056419125762</v>
      </c>
      <c r="P50" s="13">
        <f t="shared" si="13"/>
        <v>118.10629347785398</v>
      </c>
      <c r="Q50" s="13">
        <f t="shared" si="14"/>
        <v>203.15834989697976</v>
      </c>
      <c r="R50" s="4"/>
    </row>
    <row r="51" spans="2:18" x14ac:dyDescent="0.3">
      <c r="B51">
        <f t="shared" si="15"/>
        <v>0.37000000000000016</v>
      </c>
      <c r="C51">
        <f t="shared" si="3"/>
        <v>0.98369750062855899</v>
      </c>
      <c r="D51" s="6">
        <f t="shared" si="1"/>
        <v>0.33333333333333331</v>
      </c>
      <c r="E51" s="6">
        <f t="shared" si="9"/>
        <v>0.375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213.69000000000003</v>
      </c>
      <c r="L51">
        <f t="shared" si="10"/>
        <v>196.251678</v>
      </c>
      <c r="M51">
        <f t="shared" si="8"/>
        <v>0.39584134618639522</v>
      </c>
      <c r="N51">
        <f t="shared" si="11"/>
        <v>203.15448685571184</v>
      </c>
      <c r="O51">
        <f t="shared" si="12"/>
        <v>84.587337266570799</v>
      </c>
      <c r="P51">
        <f t="shared" si="13"/>
        <v>118.56714958914104</v>
      </c>
      <c r="Q51">
        <f t="shared" si="14"/>
        <v>203.15448685571184</v>
      </c>
      <c r="R51" s="7"/>
    </row>
    <row r="52" spans="2:18" x14ac:dyDescent="0.3">
      <c r="B52">
        <f t="shared" si="15"/>
        <v>0.38000000000000017</v>
      </c>
      <c r="C52">
        <f t="shared" si="3"/>
        <v>0.98015969426592242</v>
      </c>
      <c r="D52" s="6">
        <f t="shared" si="1"/>
        <v>0.33333333333333331</v>
      </c>
      <c r="E52" s="6">
        <f t="shared" si="9"/>
        <v>0.375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214.44000000000003</v>
      </c>
      <c r="L52">
        <f t="shared" si="10"/>
        <v>195.82972799999999</v>
      </c>
      <c r="M52">
        <f t="shared" si="8"/>
        <v>0.39250857829645924</v>
      </c>
      <c r="N52">
        <f t="shared" si="11"/>
        <v>203.13441940443039</v>
      </c>
      <c r="O52">
        <f t="shared" si="12"/>
        <v>84.169539529892731</v>
      </c>
      <c r="P52">
        <f t="shared" si="13"/>
        <v>118.96487987453767</v>
      </c>
      <c r="Q52">
        <f t="shared" si="14"/>
        <v>203.13441940443039</v>
      </c>
      <c r="R52" s="4"/>
    </row>
    <row r="53" spans="2:18" x14ac:dyDescent="0.3">
      <c r="B53">
        <f t="shared" si="15"/>
        <v>0.39000000000000018</v>
      </c>
      <c r="C53">
        <f t="shared" si="3"/>
        <v>0.97587297858233069</v>
      </c>
      <c r="D53" s="6">
        <f t="shared" si="1"/>
        <v>0.33333333333333331</v>
      </c>
      <c r="E53" s="6">
        <f t="shared" si="9"/>
        <v>0.375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215.21</v>
      </c>
      <c r="L53">
        <f t="shared" si="10"/>
        <v>195.37311799999998</v>
      </c>
      <c r="M53">
        <f t="shared" si="8"/>
        <v>0.38937188661976607</v>
      </c>
      <c r="N53">
        <f t="shared" si="11"/>
        <v>203.09704216899365</v>
      </c>
      <c r="O53">
        <f t="shared" si="12"/>
        <v>83.796723719439854</v>
      </c>
      <c r="P53">
        <f t="shared" si="13"/>
        <v>119.30031844955381</v>
      </c>
      <c r="Q53">
        <f t="shared" si="14"/>
        <v>203.09704216899365</v>
      </c>
      <c r="R53" s="4"/>
    </row>
    <row r="54" spans="2:18" x14ac:dyDescent="0.3">
      <c r="B54">
        <f t="shared" si="15"/>
        <v>0.40000000000000019</v>
      </c>
      <c r="C54">
        <f t="shared" si="3"/>
        <v>0.97068776924864353</v>
      </c>
      <c r="D54" s="6">
        <f t="shared" si="1"/>
        <v>0.33333333333333331</v>
      </c>
      <c r="E54" s="6">
        <f t="shared" si="9"/>
        <v>0.375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216</v>
      </c>
      <c r="L54">
        <f t="shared" si="10"/>
        <v>194.88</v>
      </c>
      <c r="M54">
        <f t="shared" si="8"/>
        <v>0.38642266528703684</v>
      </c>
      <c r="N54">
        <f t="shared" si="11"/>
        <v>203.04124669086224</v>
      </c>
      <c r="O54">
        <f t="shared" si="12"/>
        <v>83.467295701999959</v>
      </c>
      <c r="P54">
        <f t="shared" si="13"/>
        <v>119.57395098886226</v>
      </c>
      <c r="Q54">
        <f t="shared" si="14"/>
        <v>203.04124669086224</v>
      </c>
      <c r="R54" s="4"/>
    </row>
    <row r="55" spans="2:18" x14ac:dyDescent="0.3">
      <c r="B55">
        <f t="shared" si="15"/>
        <v>0.4100000000000002</v>
      </c>
      <c r="C55">
        <f t="shared" si="3"/>
        <v>0.96442881072736364</v>
      </c>
      <c r="D55" s="6">
        <f t="shared" si="1"/>
        <v>0.33333333333333331</v>
      </c>
      <c r="E55" s="6">
        <f t="shared" si="9"/>
        <v>0.375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216.81</v>
      </c>
      <c r="L55">
        <f t="shared" si="10"/>
        <v>194.348478</v>
      </c>
      <c r="M55">
        <f t="shared" si="8"/>
        <v>0.38365400478728962</v>
      </c>
      <c r="N55">
        <f t="shared" si="11"/>
        <v>202.96593086891781</v>
      </c>
      <c r="O55">
        <f t="shared" si="12"/>
        <v>83.18002477793226</v>
      </c>
      <c r="P55">
        <f t="shared" si="13"/>
        <v>119.78590609098555</v>
      </c>
      <c r="Q55">
        <f t="shared" si="14"/>
        <v>202.96593086891781</v>
      </c>
      <c r="R55" s="7"/>
    </row>
    <row r="56" spans="2:18" x14ac:dyDescent="0.3">
      <c r="B56">
        <f t="shared" si="15"/>
        <v>0.42000000000000021</v>
      </c>
      <c r="C56">
        <f t="shared" si="3"/>
        <v>0.95689274505891364</v>
      </c>
      <c r="D56" s="6">
        <f t="shared" si="1"/>
        <v>0.33333333333333331</v>
      </c>
      <c r="E56" s="6">
        <f t="shared" si="9"/>
        <v>0.375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217.64000000000001</v>
      </c>
      <c r="L56">
        <f t="shared" si="10"/>
        <v>193.77660799999998</v>
      </c>
      <c r="M56">
        <f t="shared" si="8"/>
        <v>0.38106077462934512</v>
      </c>
      <c r="N56">
        <f t="shared" si="11"/>
        <v>202.87001064080374</v>
      </c>
      <c r="O56">
        <f t="shared" si="12"/>
        <v>82.934066990330678</v>
      </c>
      <c r="P56">
        <f t="shared" si="13"/>
        <v>119.93594365047305</v>
      </c>
      <c r="Q56">
        <f t="shared" si="14"/>
        <v>202.87001064080374</v>
      </c>
      <c r="R56" s="7"/>
    </row>
    <row r="57" spans="2:18" x14ac:dyDescent="0.3">
      <c r="B57">
        <f t="shared" si="15"/>
        <v>0.43000000000000022</v>
      </c>
      <c r="C57">
        <f t="shared" si="3"/>
        <v>0.94784643692158199</v>
      </c>
      <c r="D57" s="6">
        <f t="shared" si="1"/>
        <v>0.33333333333333331</v>
      </c>
      <c r="E57" s="6">
        <f t="shared" si="9"/>
        <v>0.375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218.49</v>
      </c>
      <c r="L57">
        <f t="shared" si="10"/>
        <v>193.162398</v>
      </c>
      <c r="M57">
        <f t="shared" si="8"/>
        <v>0.37863971779344108</v>
      </c>
      <c r="N57">
        <f t="shared" si="11"/>
        <v>202.75243407366457</v>
      </c>
      <c r="O57">
        <f t="shared" si="12"/>
        <v>82.728991940688942</v>
      </c>
      <c r="P57">
        <f t="shared" si="13"/>
        <v>120.02344213297565</v>
      </c>
      <c r="Q57">
        <f t="shared" si="14"/>
        <v>202.75243407366457</v>
      </c>
      <c r="R57" s="7"/>
    </row>
    <row r="58" spans="2:18" x14ac:dyDescent="0.3">
      <c r="B58">
        <f t="shared" si="15"/>
        <v>0.44000000000000022</v>
      </c>
      <c r="C58">
        <f t="shared" si="3"/>
        <v>0.93702664394300317</v>
      </c>
      <c r="D58" s="6">
        <f t="shared" si="1"/>
        <v>0.33333333333333331</v>
      </c>
      <c r="E58" s="6">
        <f t="shared" si="9"/>
        <v>0.375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219.36</v>
      </c>
      <c r="L58">
        <f t="shared" si="10"/>
        <v>192.50380799999999</v>
      </c>
      <c r="M58">
        <f t="shared" si="8"/>
        <v>0.37638954285646242</v>
      </c>
      <c r="N58">
        <f t="shared" si="11"/>
        <v>202.61219782974538</v>
      </c>
      <c r="O58">
        <f t="shared" si="12"/>
        <v>82.564810120993599</v>
      </c>
      <c r="P58">
        <f t="shared" si="13"/>
        <v>120.04738770875178</v>
      </c>
      <c r="Q58">
        <f t="shared" si="14"/>
        <v>202.61219782974538</v>
      </c>
      <c r="R58" s="4"/>
    </row>
    <row r="59" spans="2:18" x14ac:dyDescent="0.3">
      <c r="B59">
        <f t="shared" si="15"/>
        <v>0.45000000000000023</v>
      </c>
      <c r="C59">
        <f t="shared" si="3"/>
        <v>0.92414181997875611</v>
      </c>
      <c r="D59" s="6">
        <f t="shared" si="1"/>
        <v>0.33333333333333331</v>
      </c>
      <c r="E59" s="6">
        <f t="shared" si="9"/>
        <v>0.375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220.25000000000003</v>
      </c>
      <c r="L59">
        <f t="shared" si="10"/>
        <v>191.79874999999998</v>
      </c>
      <c r="M59">
        <f t="shared" si="8"/>
        <v>0.37431099221673497</v>
      </c>
      <c r="N59">
        <f t="shared" si="11"/>
        <v>202.44836561730639</v>
      </c>
      <c r="O59">
        <f t="shared" si="12"/>
        <v>82.441996035735883</v>
      </c>
      <c r="P59">
        <f t="shared" si="13"/>
        <v>120.00636958157051</v>
      </c>
      <c r="Q59">
        <f t="shared" si="14"/>
        <v>202.44836561730639</v>
      </c>
      <c r="R59" s="16"/>
    </row>
    <row r="60" spans="2:18" x14ac:dyDescent="0.3">
      <c r="B60">
        <f t="shared" si="15"/>
        <v>0.46000000000000024</v>
      </c>
      <c r="C60">
        <f t="shared" si="3"/>
        <v>0.90887703898514338</v>
      </c>
      <c r="D60" s="6">
        <f t="shared" si="1"/>
        <v>0.33333333333333331</v>
      </c>
      <c r="E60" s="6">
        <f t="shared" si="9"/>
        <v>0.375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221.16000000000003</v>
      </c>
      <c r="L60">
        <f t="shared" si="10"/>
        <v>191.04508799999999</v>
      </c>
      <c r="M60">
        <f t="shared" si="8"/>
        <v>0.37240685561727588</v>
      </c>
      <c r="N60">
        <f t="shared" si="11"/>
        <v>202.26008768511096</v>
      </c>
      <c r="O60">
        <f t="shared" si="12"/>
        <v>82.361500188316739</v>
      </c>
      <c r="P60">
        <f t="shared" si="13"/>
        <v>119.89858749679422</v>
      </c>
      <c r="Q60">
        <f t="shared" si="14"/>
        <v>202.26008768511096</v>
      </c>
      <c r="R60" s="7"/>
    </row>
    <row r="61" spans="2:18" x14ac:dyDescent="0.3">
      <c r="B61">
        <f t="shared" si="15"/>
        <v>0.47000000000000025</v>
      </c>
      <c r="C61">
        <f t="shared" si="3"/>
        <v>0.89090317880438652</v>
      </c>
      <c r="D61" s="6">
        <f t="shared" si="1"/>
        <v>0.33333333333333331</v>
      </c>
      <c r="E61" s="6">
        <f t="shared" si="9"/>
        <v>0.375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222.09000000000003</v>
      </c>
      <c r="L61">
        <f t="shared" si="10"/>
        <v>190.24063799999999</v>
      </c>
      <c r="M61">
        <f t="shared" si="8"/>
        <v>0.37068188799351759</v>
      </c>
      <c r="N61">
        <f t="shared" si="11"/>
        <v>202.04661963754899</v>
      </c>
      <c r="O61">
        <f t="shared" si="12"/>
        <v>82.324740504480332</v>
      </c>
      <c r="P61">
        <f t="shared" si="13"/>
        <v>119.72187913306865</v>
      </c>
      <c r="Q61">
        <f t="shared" si="14"/>
        <v>202.04661963754899</v>
      </c>
      <c r="R61" s="7"/>
    </row>
    <row r="62" spans="2:18" x14ac:dyDescent="0.3">
      <c r="B62">
        <f t="shared" si="15"/>
        <v>0.48000000000000026</v>
      </c>
      <c r="C62">
        <f t="shared" si="3"/>
        <v>0.86989152563700145</v>
      </c>
      <c r="D62" s="6">
        <f t="shared" si="1"/>
        <v>0.33333333333333331</v>
      </c>
      <c r="E62" s="6">
        <f t="shared" si="9"/>
        <v>0.375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223.04000000000002</v>
      </c>
      <c r="L62">
        <f t="shared" si="10"/>
        <v>189.38316799999998</v>
      </c>
      <c r="M62">
        <f t="shared" si="8"/>
        <v>0.36914258148599471</v>
      </c>
      <c r="N62">
        <f t="shared" si="11"/>
        <v>201.80733784912042</v>
      </c>
      <c r="O62">
        <f t="shared" si="12"/>
        <v>82.333561374636275</v>
      </c>
      <c r="P62">
        <f t="shared" si="13"/>
        <v>119.47377647448415</v>
      </c>
      <c r="Q62">
        <f t="shared" si="14"/>
        <v>201.80733784912042</v>
      </c>
      <c r="R62" s="7"/>
    </row>
    <row r="63" spans="2:18" x14ac:dyDescent="0.3">
      <c r="B63">
        <f t="shared" si="15"/>
        <v>0.49000000000000027</v>
      </c>
      <c r="C63">
        <f t="shared" si="3"/>
        <v>0.84553473491646447</v>
      </c>
      <c r="D63" s="6">
        <f t="shared" si="1"/>
        <v>0.33333333333333331</v>
      </c>
      <c r="E63" s="6">
        <f t="shared" si="9"/>
        <v>0.375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224.01000000000002</v>
      </c>
      <c r="L63">
        <f t="shared" si="10"/>
        <v>188.47039799999999</v>
      </c>
      <c r="M63">
        <f t="shared" si="8"/>
        <v>0.36779673671427376</v>
      </c>
      <c r="N63">
        <f t="shared" si="11"/>
        <v>201.54174763972406</v>
      </c>
      <c r="O63">
        <f t="shared" si="12"/>
        <v>82.390146991364475</v>
      </c>
      <c r="P63">
        <f t="shared" si="13"/>
        <v>119.15160064835959</v>
      </c>
      <c r="Q63">
        <f t="shared" si="14"/>
        <v>201.54174763972406</v>
      </c>
      <c r="R63" s="7"/>
    </row>
    <row r="64" spans="2:18" x14ac:dyDescent="0.3">
      <c r="B64">
        <f t="shared" si="15"/>
        <v>0.50000000000000022</v>
      </c>
      <c r="C64">
        <f t="shared" si="3"/>
        <v>0.81757447619364287</v>
      </c>
      <c r="D64" s="6">
        <f t="shared" si="1"/>
        <v>0.33333333333333331</v>
      </c>
      <c r="E64" s="6">
        <f t="shared" si="9"/>
        <v>0.375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225.00000000000003</v>
      </c>
      <c r="L64">
        <f t="shared" si="10"/>
        <v>187.49999999999997</v>
      </c>
      <c r="M64">
        <f t="shared" si="8"/>
        <v>0.36665278320244193</v>
      </c>
      <c r="N64">
        <f t="shared" si="11"/>
        <v>201.24947937009154</v>
      </c>
      <c r="O64">
        <f t="shared" si="12"/>
        <v>82.496876220549439</v>
      </c>
      <c r="P64">
        <f t="shared" si="13"/>
        <v>118.75260314954211</v>
      </c>
      <c r="Q64">
        <f t="shared" si="14"/>
        <v>201.24947937009154</v>
      </c>
      <c r="R64" s="7"/>
    </row>
    <row r="65" spans="2:18" x14ac:dyDescent="0.3">
      <c r="B65">
        <f t="shared" si="15"/>
        <v>0.51000000000000023</v>
      </c>
      <c r="C65">
        <f t="shared" si="3"/>
        <v>0.78583498304255772</v>
      </c>
      <c r="D65" s="6">
        <f t="shared" si="1"/>
        <v>0.33333333333333331</v>
      </c>
      <c r="E65" s="6">
        <f t="shared" si="9"/>
        <v>0.375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226.01000000000002</v>
      </c>
      <c r="L65">
        <f t="shared" si="10"/>
        <v>186.46959799999999</v>
      </c>
      <c r="M65">
        <f t="shared" si="8"/>
        <v>0.36571881929670969</v>
      </c>
      <c r="N65">
        <f t="shared" si="11"/>
        <v>200.93026713395727</v>
      </c>
      <c r="O65">
        <f t="shared" si="12"/>
        <v>82.65611034924936</v>
      </c>
      <c r="P65">
        <f t="shared" si="13"/>
        <v>118.2741567847079</v>
      </c>
      <c r="Q65">
        <f t="shared" si="14"/>
        <v>200.93026713395727</v>
      </c>
      <c r="R65" s="7"/>
    </row>
    <row r="66" spans="2:18" x14ac:dyDescent="0.3">
      <c r="B66">
        <f t="shared" si="15"/>
        <v>0.52000000000000024</v>
      </c>
      <c r="C66">
        <f t="shared" si="3"/>
        <v>0.75026010559511658</v>
      </c>
      <c r="D66" s="6">
        <f t="shared" si="1"/>
        <v>0.33333333333333331</v>
      </c>
      <c r="E66" s="6">
        <f t="shared" si="9"/>
        <v>0.375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227.04000000000002</v>
      </c>
      <c r="L66">
        <f t="shared" si="10"/>
        <v>185.37676799999997</v>
      </c>
      <c r="M66">
        <f t="shared" si="8"/>
        <v>0.36500138326353765</v>
      </c>
      <c r="N66">
        <f t="shared" si="11"/>
        <v>200.58390531122967</v>
      </c>
      <c r="O66">
        <f t="shared" si="12"/>
        <v>82.86991405615359</v>
      </c>
      <c r="P66">
        <f t="shared" si="13"/>
        <v>117.71399125507607</v>
      </c>
      <c r="Q66">
        <f t="shared" si="14"/>
        <v>200.58390531122967</v>
      </c>
      <c r="R66" s="7"/>
    </row>
    <row r="67" spans="2:18" x14ac:dyDescent="0.3">
      <c r="B67">
        <f t="shared" si="15"/>
        <v>0.53000000000000025</v>
      </c>
      <c r="C67">
        <f t="shared" si="3"/>
        <v>0.71094950262500278</v>
      </c>
      <c r="D67" s="6">
        <f t="shared" si="1"/>
        <v>0.33333333333333331</v>
      </c>
      <c r="E67" s="6">
        <f t="shared" si="9"/>
        <v>0.375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228.09000000000003</v>
      </c>
      <c r="L67">
        <f t="shared" si="10"/>
        <v>184.21903799999998</v>
      </c>
      <c r="M67">
        <f t="shared" si="8"/>
        <v>0.36450403044887791</v>
      </c>
      <c r="N67">
        <f t="shared" si="11"/>
        <v>200.21018046866956</v>
      </c>
      <c r="O67">
        <f t="shared" si="12"/>
        <v>83.13972430508457</v>
      </c>
      <c r="P67">
        <f t="shared" si="13"/>
        <v>117.07045616358499</v>
      </c>
      <c r="Q67">
        <f t="shared" si="14"/>
        <v>200.21018046866956</v>
      </c>
      <c r="R67" s="7"/>
    </row>
    <row r="68" spans="2:18" x14ac:dyDescent="0.3">
      <c r="B68">
        <f t="shared" si="15"/>
        <v>0.54000000000000026</v>
      </c>
      <c r="C68">
        <f t="shared" si="3"/>
        <v>0.66818777216816483</v>
      </c>
      <c r="D68" s="6">
        <f t="shared" si="1"/>
        <v>0.33333333333333331</v>
      </c>
      <c r="E68" s="6">
        <f t="shared" si="9"/>
        <v>0.375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229.16000000000003</v>
      </c>
      <c r="L68">
        <f t="shared" si="10"/>
        <v>182.99388799999997</v>
      </c>
      <c r="M68">
        <f t="shared" si="8"/>
        <v>0.36422586880488894</v>
      </c>
      <c r="N68">
        <f t="shared" si="11"/>
        <v>199.80878025254378</v>
      </c>
      <c r="O68">
        <f t="shared" si="12"/>
        <v>83.466000095328354</v>
      </c>
      <c r="P68">
        <f t="shared" si="13"/>
        <v>116.34278015721544</v>
      </c>
      <c r="Q68">
        <f t="shared" si="14"/>
        <v>199.80878025254378</v>
      </c>
      <c r="R68" s="7"/>
    </row>
    <row r="69" spans="2:18" x14ac:dyDescent="0.3">
      <c r="B69">
        <f t="shared" si="15"/>
        <v>0.55000000000000027</v>
      </c>
      <c r="C69">
        <f t="shared" si="3"/>
        <v>0.62245933120185315</v>
      </c>
      <c r="D69" s="6">
        <f t="shared" si="1"/>
        <v>0.33333333333333331</v>
      </c>
      <c r="E69" s="6">
        <f t="shared" si="9"/>
        <v>0.375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230.25000000000003</v>
      </c>
      <c r="L69">
        <f t="shared" si="10"/>
        <v>181.69874999999996</v>
      </c>
      <c r="M69">
        <f t="shared" si="8"/>
        <v>0.36416027765278591</v>
      </c>
      <c r="N69">
        <f t="shared" si="11"/>
        <v>199.37918668038981</v>
      </c>
      <c r="O69">
        <f t="shared" si="12"/>
        <v>83.847903929553965</v>
      </c>
      <c r="P69">
        <f t="shared" si="13"/>
        <v>115.53128275083584</v>
      </c>
      <c r="Q69">
        <f t="shared" si="14"/>
        <v>199.37918668038981</v>
      </c>
      <c r="R69" s="7"/>
    </row>
    <row r="70" spans="2:18" x14ac:dyDescent="0.3">
      <c r="B70">
        <f t="shared" si="15"/>
        <v>0.56000000000000028</v>
      </c>
      <c r="C70">
        <f t="shared" si="3"/>
        <v>0.57444251681165748</v>
      </c>
      <c r="D70" s="6">
        <f t="shared" si="1"/>
        <v>0.33333333333333331</v>
      </c>
      <c r="E70" s="6">
        <f t="shared" si="9"/>
        <v>0.375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231.36000000000004</v>
      </c>
      <c r="L70">
        <f t="shared" si="10"/>
        <v>180.33100799999997</v>
      </c>
      <c r="M70">
        <f t="shared" si="8"/>
        <v>0.36429407348701393</v>
      </c>
      <c r="N70">
        <f t="shared" si="11"/>
        <v>198.92056736161624</v>
      </c>
      <c r="O70">
        <f t="shared" si="12"/>
        <v>84.283076841955562</v>
      </c>
      <c r="P70">
        <f t="shared" si="13"/>
        <v>114.63749051966069</v>
      </c>
      <c r="Q70">
        <f t="shared" si="14"/>
        <v>198.92056736161624</v>
      </c>
      <c r="R70" s="7"/>
    </row>
    <row r="71" spans="2:18" x14ac:dyDescent="0.3">
      <c r="B71">
        <f t="shared" si="15"/>
        <v>0.57000000000000028</v>
      </c>
      <c r="C71">
        <f t="shared" si="3"/>
        <v>0.52497918747893846</v>
      </c>
      <c r="D71" s="6">
        <f t="shared" si="1"/>
        <v>0.33333333333333331</v>
      </c>
      <c r="E71" s="6">
        <f t="shared" si="9"/>
        <v>0.375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232.49000000000004</v>
      </c>
      <c r="L71">
        <f t="shared" si="10"/>
        <v>178.88799799999995</v>
      </c>
      <c r="M71">
        <f t="shared" si="8"/>
        <v>0.3646073627766484</v>
      </c>
      <c r="N71">
        <f t="shared" si="11"/>
        <v>198.43168258876861</v>
      </c>
      <c r="O71">
        <f t="shared" si="12"/>
        <v>84.767565771942998</v>
      </c>
      <c r="P71">
        <f t="shared" si="13"/>
        <v>113.66411681682561</v>
      </c>
      <c r="Q71">
        <f t="shared" si="14"/>
        <v>198.43168258876861</v>
      </c>
      <c r="R71" s="4"/>
    </row>
    <row r="72" spans="2:18" x14ac:dyDescent="0.3">
      <c r="B72">
        <f t="shared" si="15"/>
        <v>0.58000000000000029</v>
      </c>
      <c r="C72">
        <f t="shared" si="3"/>
        <v>0.47502081252105832</v>
      </c>
      <c r="D72" s="6">
        <f t="shared" si="1"/>
        <v>0.33333333333333331</v>
      </c>
      <c r="E72" s="6">
        <f t="shared" si="9"/>
        <v>0.375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233.64000000000004</v>
      </c>
      <c r="L72">
        <f t="shared" si="10"/>
        <v>177.36700799999994</v>
      </c>
      <c r="M72">
        <f t="shared" si="8"/>
        <v>0.36507422089917707</v>
      </c>
      <c r="N72">
        <f t="shared" si="11"/>
        <v>197.91082671206561</v>
      </c>
      <c r="O72">
        <f t="shared" si="12"/>
        <v>85.295940970883748</v>
      </c>
      <c r="P72">
        <f t="shared" si="13"/>
        <v>112.61488574118185</v>
      </c>
      <c r="Q72">
        <f t="shared" si="14"/>
        <v>197.91082671206561</v>
      </c>
      <c r="R72" s="4"/>
    </row>
    <row r="73" spans="2:18" x14ac:dyDescent="0.3">
      <c r="B73">
        <f t="shared" si="15"/>
        <v>0.5900000000000003</v>
      </c>
      <c r="C73">
        <f t="shared" si="3"/>
        <v>0.42555748318833941</v>
      </c>
      <c r="D73" s="6">
        <f t="shared" si="1"/>
        <v>0.33333333333333331</v>
      </c>
      <c r="E73" s="6">
        <f t="shared" si="9"/>
        <v>0.375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234.81000000000003</v>
      </c>
      <c r="L73">
        <f t="shared" si="10"/>
        <v>175.76527799999994</v>
      </c>
      <c r="M73">
        <f t="shared" si="8"/>
        <v>0.36566417335450674</v>
      </c>
      <c r="N73">
        <f t="shared" si="11"/>
        <v>197.35581746107664</v>
      </c>
      <c r="O73">
        <f t="shared" si="12"/>
        <v>85.861604545371733</v>
      </c>
      <c r="P73">
        <f t="shared" si="13"/>
        <v>111.49421291570489</v>
      </c>
      <c r="Q73">
        <f t="shared" si="14"/>
        <v>197.35581746107664</v>
      </c>
      <c r="R73" s="4"/>
    </row>
    <row r="74" spans="2:18" x14ac:dyDescent="0.3">
      <c r="B74">
        <f t="shared" si="15"/>
        <v>0.60000000000000031</v>
      </c>
      <c r="C74">
        <f t="shared" si="3"/>
        <v>0.37754066879814385</v>
      </c>
      <c r="D74" s="6">
        <f t="shared" si="1"/>
        <v>0.33333333333333331</v>
      </c>
      <c r="E74" s="6">
        <f t="shared" si="9"/>
        <v>0.375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236.00000000000003</v>
      </c>
      <c r="L74">
        <f t="shared" si="10"/>
        <v>174.07999999999996</v>
      </c>
      <c r="M74">
        <f t="shared" si="8"/>
        <v>0.36634427595016372</v>
      </c>
      <c r="N74">
        <f t="shared" si="11"/>
        <v>196.76403756683413</v>
      </c>
      <c r="O74">
        <f t="shared" si="12"/>
        <v>86.457249124238643</v>
      </c>
      <c r="P74">
        <f t="shared" si="13"/>
        <v>110.30678844259548</v>
      </c>
      <c r="Q74">
        <f t="shared" si="14"/>
        <v>196.76403756683413</v>
      </c>
      <c r="R74" s="4"/>
    </row>
    <row r="75" spans="2:18" x14ac:dyDescent="0.3">
      <c r="B75">
        <f t="shared" si="15"/>
        <v>0.61000000000000032</v>
      </c>
      <c r="C75">
        <f t="shared" si="3"/>
        <v>0.33181222783183228</v>
      </c>
      <c r="D75" s="6">
        <f t="shared" si="1"/>
        <v>0.33333333333333331</v>
      </c>
      <c r="E75" s="6">
        <f t="shared" si="9"/>
        <v>0.375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237.21000000000004</v>
      </c>
      <c r="L75">
        <f t="shared" si="10"/>
        <v>172.30831799999993</v>
      </c>
      <c r="M75">
        <f t="shared" si="8"/>
        <v>0.36708145517804802</v>
      </c>
      <c r="N75">
        <f t="shared" si="11"/>
        <v>196.13252187206291</v>
      </c>
      <c r="O75">
        <f t="shared" si="12"/>
        <v>87.07539198278478</v>
      </c>
      <c r="P75">
        <f t="shared" si="13"/>
        <v>109.05712988927812</v>
      </c>
      <c r="Q75">
        <f t="shared" si="14"/>
        <v>196.13252187206291</v>
      </c>
      <c r="R75" s="4"/>
    </row>
    <row r="76" spans="2:18" x14ac:dyDescent="0.3">
      <c r="B76">
        <f t="shared" si="15"/>
        <v>0.62000000000000033</v>
      </c>
      <c r="C76">
        <f t="shared" si="3"/>
        <v>0.28905049737499455</v>
      </c>
      <c r="D76" s="6">
        <f t="shared" si="1"/>
        <v>0.33333333333333331</v>
      </c>
      <c r="E76" s="6">
        <f t="shared" si="9"/>
        <v>0.375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238.44000000000005</v>
      </c>
      <c r="L76">
        <f t="shared" si="10"/>
        <v>170.44732799999994</v>
      </c>
      <c r="M76">
        <f t="shared" si="8"/>
        <v>0.3678447258343302</v>
      </c>
      <c r="N76">
        <f t="shared" si="11"/>
        <v>195.45807379058351</v>
      </c>
      <c r="O76">
        <f t="shared" si="12"/>
        <v>87.708896427937717</v>
      </c>
      <c r="P76">
        <f t="shared" si="13"/>
        <v>107.7491773626458</v>
      </c>
      <c r="Q76">
        <f t="shared" si="14"/>
        <v>195.45807379058351</v>
      </c>
      <c r="R76" s="4"/>
    </row>
    <row r="77" spans="2:18" x14ac:dyDescent="0.3">
      <c r="B77">
        <f t="shared" si="15"/>
        <v>0.63000000000000034</v>
      </c>
      <c r="C77">
        <f t="shared" si="3"/>
        <v>0.24973989440488098</v>
      </c>
      <c r="D77" s="6">
        <f t="shared" si="1"/>
        <v>0.33333333333333331</v>
      </c>
      <c r="E77" s="6">
        <f t="shared" si="9"/>
        <v>0.375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239.69000000000005</v>
      </c>
      <c r="L77">
        <f t="shared" si="10"/>
        <v>168.49407799999994</v>
      </c>
      <c r="M77">
        <f t="shared" si="8"/>
        <v>0.36860696112517205</v>
      </c>
      <c r="N77">
        <f t="shared" si="11"/>
        <v>194.73739045292476</v>
      </c>
      <c r="O77">
        <f t="shared" si="12"/>
        <v>88.351402512092506</v>
      </c>
      <c r="P77">
        <f t="shared" si="13"/>
        <v>106.38598794083225</v>
      </c>
      <c r="Q77">
        <f t="shared" si="14"/>
        <v>194.73739045292476</v>
      </c>
      <c r="R77" s="4"/>
    </row>
    <row r="78" spans="2:18" x14ac:dyDescent="0.3">
      <c r="B78">
        <f t="shared" si="15"/>
        <v>0.64000000000000035</v>
      </c>
      <c r="C78">
        <f t="shared" si="3"/>
        <v>0.21416501695744006</v>
      </c>
      <c r="D78" s="6">
        <f t="shared" ref="D78:D114" si="17">$D$10/($D$10+$B$10)</f>
        <v>0.33333333333333331</v>
      </c>
      <c r="E78" s="6">
        <f t="shared" si="9"/>
        <v>0.375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240.96000000000004</v>
      </c>
      <c r="L78">
        <f t="shared" si="10"/>
        <v>166.44556799999992</v>
      </c>
      <c r="M78">
        <f t="shared" si="8"/>
        <v>0.36934602230706548</v>
      </c>
      <c r="N78">
        <f t="shared" si="11"/>
        <v>193.96717706367028</v>
      </c>
      <c r="O78">
        <f t="shared" si="12"/>
        <v>88.997617535110507</v>
      </c>
      <c r="P78">
        <f t="shared" si="13"/>
        <v>104.96955952855977</v>
      </c>
      <c r="Q78">
        <f t="shared" si="14"/>
        <v>193.96717706367028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0.18242552380635524</v>
      </c>
      <c r="D79" s="6">
        <f t="shared" si="17"/>
        <v>0.33333333333333331</v>
      </c>
      <c r="E79" s="6">
        <f t="shared" si="9"/>
        <v>0.375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242.25000000000006</v>
      </c>
      <c r="L79">
        <f t="shared" si="10"/>
        <v>164.29874999999993</v>
      </c>
      <c r="M79">
        <f t="shared" ref="M79:M114" si="24">C79*D79^(1-EXP(-5*B79))+(1-C79)*E79</f>
        <v>0.37004520903623817</v>
      </c>
      <c r="N79">
        <f t="shared" si="11"/>
        <v>193.14423660088602</v>
      </c>
      <c r="O79">
        <f t="shared" si="12"/>
        <v>89.643451889028711</v>
      </c>
      <c r="P79">
        <f t="shared" si="13"/>
        <v>103.50078471185732</v>
      </c>
      <c r="Q79">
        <f t="shared" si="14"/>
        <v>193.14423660088602</v>
      </c>
      <c r="R79" s="4"/>
    </row>
    <row r="80" spans="2:18" x14ac:dyDescent="0.3">
      <c r="B80">
        <f t="shared" si="15"/>
        <v>0.66000000000000036</v>
      </c>
      <c r="C80">
        <f t="shared" si="19"/>
        <v>0.15446526508353364</v>
      </c>
      <c r="D80" s="6">
        <f t="shared" si="17"/>
        <v>0.33333333333333331</v>
      </c>
      <c r="E80" s="6">
        <f t="shared" ref="E80:E114" si="25">$E$10/($E$10+$C$10)</f>
        <v>0.375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243.56000000000006</v>
      </c>
      <c r="L80">
        <f t="shared" ref="L80:L114" si="26">$G$10+I80</f>
        <v>162.05052799999993</v>
      </c>
      <c r="M80">
        <f t="shared" si="24"/>
        <v>0.37069311966849111</v>
      </c>
      <c r="N80">
        <f t="shared" ref="N80:N114" si="27">M80*K80+(1-M80)*L80</f>
        <v>192.26552845821152</v>
      </c>
      <c r="O80">
        <f t="shared" ref="O80:O114" si="28">K80*M80</f>
        <v>90.286016226457718</v>
      </c>
      <c r="P80">
        <f t="shared" ref="P80:P114" si="29">(1-M80)*L80</f>
        <v>101.9795122317538</v>
      </c>
      <c r="Q80">
        <f t="shared" ref="Q80:Q114" si="30">P80+O80</f>
        <v>192.26552845821152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0.13010847436299688</v>
      </c>
      <c r="D81" s="6">
        <f t="shared" si="17"/>
        <v>0.33333333333333331</v>
      </c>
      <c r="E81" s="6">
        <f t="shared" si="25"/>
        <v>0.375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244.89000000000004</v>
      </c>
      <c r="L81">
        <f t="shared" si="26"/>
        <v>159.69775799999991</v>
      </c>
      <c r="M81">
        <f t="shared" si="24"/>
        <v>0.3712830855206094</v>
      </c>
      <c r="N81">
        <f t="shared" si="27"/>
        <v>191.3281964721784</v>
      </c>
      <c r="O81">
        <f t="shared" si="28"/>
        <v>90.923514813142049</v>
      </c>
      <c r="P81">
        <f t="shared" si="29"/>
        <v>100.40468165903636</v>
      </c>
      <c r="Q81">
        <f t="shared" si="30"/>
        <v>191.3281964721784</v>
      </c>
      <c r="R81" s="4"/>
    </row>
    <row r="82" spans="2:18" x14ac:dyDescent="0.3">
      <c r="B82">
        <f t="shared" si="31"/>
        <v>0.68000000000000038</v>
      </c>
      <c r="C82">
        <f t="shared" si="19"/>
        <v>0.10909682119561204</v>
      </c>
      <c r="D82" s="6">
        <f t="shared" si="17"/>
        <v>0.33333333333333331</v>
      </c>
      <c r="E82" s="6">
        <f t="shared" si="25"/>
        <v>0.375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246.24000000000007</v>
      </c>
      <c r="L82">
        <f t="shared" si="26"/>
        <v>157.23724799999991</v>
      </c>
      <c r="M82">
        <f t="shared" si="24"/>
        <v>0.3718123621545984</v>
      </c>
      <c r="N82">
        <f t="shared" si="27"/>
        <v>190.32957145937991</v>
      </c>
      <c r="O82">
        <f t="shared" si="28"/>
        <v>91.555076056948337</v>
      </c>
      <c r="P82">
        <f t="shared" si="29"/>
        <v>98.774495402431555</v>
      </c>
      <c r="Q82">
        <f t="shared" si="30"/>
        <v>190.32957145937991</v>
      </c>
      <c r="R82" s="4"/>
    </row>
    <row r="83" spans="2:18" x14ac:dyDescent="0.3">
      <c r="B83">
        <f t="shared" si="31"/>
        <v>0.69000000000000039</v>
      </c>
      <c r="C83">
        <f t="shared" si="19"/>
        <v>9.1122961014855508E-2</v>
      </c>
      <c r="D83" s="6">
        <f t="shared" si="17"/>
        <v>0.33333333333333331</v>
      </c>
      <c r="E83" s="6">
        <f t="shared" si="25"/>
        <v>0.375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247.61000000000004</v>
      </c>
      <c r="L83">
        <f t="shared" si="26"/>
        <v>154.6657579999999</v>
      </c>
      <c r="M83">
        <f t="shared" si="24"/>
        <v>0.37228123867010521</v>
      </c>
      <c r="N83">
        <f t="shared" si="27"/>
        <v>189.26715553901397</v>
      </c>
      <c r="O83">
        <f t="shared" si="28"/>
        <v>92.180557507104766</v>
      </c>
      <c r="P83">
        <f t="shared" si="29"/>
        <v>97.086598031909205</v>
      </c>
      <c r="Q83">
        <f t="shared" si="30"/>
        <v>189.26715553901397</v>
      </c>
      <c r="R83" s="4"/>
    </row>
    <row r="84" spans="2:18" x14ac:dyDescent="0.3">
      <c r="B84">
        <f t="shared" si="31"/>
        <v>0.7000000000000004</v>
      </c>
      <c r="C84">
        <f t="shared" si="19"/>
        <v>7.5858180021242894E-2</v>
      </c>
      <c r="D84" s="6">
        <f t="shared" si="17"/>
        <v>0.33333333333333331</v>
      </c>
      <c r="E84" s="6">
        <f t="shared" si="25"/>
        <v>0.375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249.00000000000006</v>
      </c>
      <c r="L84">
        <f t="shared" si="26"/>
        <v>151.9799999999999</v>
      </c>
      <c r="M84">
        <f t="shared" si="24"/>
        <v>0.37269218303095714</v>
      </c>
      <c r="N84">
        <f t="shared" si="27"/>
        <v>188.13859559766342</v>
      </c>
      <c r="O84">
        <f t="shared" si="28"/>
        <v>92.800353574708353</v>
      </c>
      <c r="P84">
        <f t="shared" si="29"/>
        <v>95.338242022955086</v>
      </c>
      <c r="Q84">
        <f t="shared" si="30"/>
        <v>188.13859559766342</v>
      </c>
      <c r="R84" s="4"/>
    </row>
    <row r="85" spans="2:18" x14ac:dyDescent="0.3">
      <c r="B85">
        <f t="shared" si="31"/>
        <v>0.71000000000000041</v>
      </c>
      <c r="C85">
        <f t="shared" si="19"/>
        <v>6.2973356056995833E-2</v>
      </c>
      <c r="D85" s="6">
        <f t="shared" si="17"/>
        <v>0.33333333333333331</v>
      </c>
      <c r="E85" s="6">
        <f t="shared" si="25"/>
        <v>0.375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250.41000000000005</v>
      </c>
      <c r="L85">
        <f t="shared" si="26"/>
        <v>149.17663799999991</v>
      </c>
      <c r="M85">
        <f t="shared" si="24"/>
        <v>0.37304909490106053</v>
      </c>
      <c r="N85">
        <f t="shared" si="27"/>
        <v>186.94165206789137</v>
      </c>
      <c r="O85">
        <f t="shared" si="28"/>
        <v>93.415223854174585</v>
      </c>
      <c r="P85">
        <f t="shared" si="29"/>
        <v>93.526428213716798</v>
      </c>
      <c r="Q85">
        <f t="shared" si="30"/>
        <v>186.94165206789137</v>
      </c>
      <c r="R85" s="4"/>
    </row>
    <row r="86" spans="2:18" x14ac:dyDescent="0.3">
      <c r="B86">
        <f t="shared" si="31"/>
        <v>0.72000000000000042</v>
      </c>
      <c r="C86">
        <f t="shared" si="19"/>
        <v>5.2153563078417231E-2</v>
      </c>
      <c r="D86" s="6">
        <f t="shared" si="17"/>
        <v>0.33333333333333331</v>
      </c>
      <c r="E86" s="6">
        <f t="shared" si="25"/>
        <v>0.375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251.84000000000006</v>
      </c>
      <c r="L86">
        <f t="shared" si="26"/>
        <v>146.25228799999985</v>
      </c>
      <c r="M86">
        <f t="shared" si="24"/>
        <v>0.37335669798709997</v>
      </c>
      <c r="N86">
        <f t="shared" si="27"/>
        <v>185.67416750033283</v>
      </c>
      <c r="O86">
        <f t="shared" si="28"/>
        <v>94.026150821071283</v>
      </c>
      <c r="P86">
        <f t="shared" si="29"/>
        <v>91.648016679261545</v>
      </c>
      <c r="Q86">
        <f t="shared" si="30"/>
        <v>185.67416750033283</v>
      </c>
      <c r="R86" s="4"/>
    </row>
    <row r="87" spans="2:18" x14ac:dyDescent="0.3">
      <c r="B87">
        <f t="shared" si="31"/>
        <v>0.73000000000000043</v>
      </c>
      <c r="C87">
        <f t="shared" si="19"/>
        <v>4.3107254941085693E-2</v>
      </c>
      <c r="D87" s="6">
        <f t="shared" si="17"/>
        <v>0.33333333333333331</v>
      </c>
      <c r="E87" s="6">
        <f t="shared" si="25"/>
        <v>0.375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253.29000000000008</v>
      </c>
      <c r="L87">
        <f t="shared" si="26"/>
        <v>143.20351799999986</v>
      </c>
      <c r="M87">
        <f t="shared" si="24"/>
        <v>0.37362007572907108</v>
      </c>
      <c r="N87">
        <f t="shared" si="27"/>
        <v>184.33403774158697</v>
      </c>
      <c r="O87">
        <f t="shared" si="28"/>
        <v>94.634228981416442</v>
      </c>
      <c r="P87">
        <f t="shared" si="29"/>
        <v>89.699808760170527</v>
      </c>
      <c r="Q87">
        <f t="shared" si="30"/>
        <v>184.33403774158697</v>
      </c>
      <c r="R87" s="4"/>
    </row>
    <row r="88" spans="2:18" x14ac:dyDescent="0.3">
      <c r="B88">
        <f t="shared" si="31"/>
        <v>0.74000000000000044</v>
      </c>
      <c r="C88">
        <f t="shared" si="19"/>
        <v>3.5571189272635917E-2</v>
      </c>
      <c r="D88" s="6">
        <f t="shared" si="17"/>
        <v>0.33333333333333331</v>
      </c>
      <c r="E88" s="6">
        <f t="shared" si="25"/>
        <v>0.375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254.76000000000005</v>
      </c>
      <c r="L88">
        <f t="shared" si="26"/>
        <v>140.02684799999986</v>
      </c>
      <c r="M88">
        <f t="shared" si="24"/>
        <v>0.37384433721210103</v>
      </c>
      <c r="N88">
        <f t="shared" si="27"/>
        <v>182.91918716569518</v>
      </c>
      <c r="O88">
        <f t="shared" si="28"/>
        <v>95.240583348154871</v>
      </c>
      <c r="P88">
        <f t="shared" si="29"/>
        <v>87.678603817540306</v>
      </c>
      <c r="Q88">
        <f t="shared" si="30"/>
        <v>182.91918716569518</v>
      </c>
      <c r="R88" s="4"/>
    </row>
    <row r="89" spans="2:18" x14ac:dyDescent="0.3">
      <c r="B89">
        <f t="shared" si="31"/>
        <v>0.75000000000000044</v>
      </c>
      <c r="C89">
        <f t="shared" si="19"/>
        <v>2.9312230751356028E-2</v>
      </c>
      <c r="D89" s="6">
        <f t="shared" si="17"/>
        <v>0.33333333333333331</v>
      </c>
      <c r="E89" s="6">
        <f t="shared" si="25"/>
        <v>0.375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256.25000000000006</v>
      </c>
      <c r="L89">
        <f t="shared" si="26"/>
        <v>136.71874999999983</v>
      </c>
      <c r="M89">
        <f t="shared" si="24"/>
        <v>0.37403439209884126</v>
      </c>
      <c r="N89">
        <f t="shared" si="27"/>
        <v>181.42754843056451</v>
      </c>
      <c r="O89">
        <f t="shared" si="28"/>
        <v>95.84631297532809</v>
      </c>
      <c r="P89">
        <f t="shared" si="29"/>
        <v>85.581235455236438</v>
      </c>
      <c r="Q89">
        <f t="shared" si="30"/>
        <v>181.42754843056451</v>
      </c>
      <c r="R89" s="4"/>
    </row>
    <row r="90" spans="2:18" x14ac:dyDescent="0.3">
      <c r="B90">
        <f t="shared" si="31"/>
        <v>0.76000000000000045</v>
      </c>
      <c r="C90">
        <f t="shared" si="19"/>
        <v>2.4127021417668981E-2</v>
      </c>
      <c r="D90" s="6">
        <f t="shared" si="17"/>
        <v>0.33333333333333331</v>
      </c>
      <c r="E90" s="6">
        <f t="shared" si="25"/>
        <v>0.375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257.76000000000005</v>
      </c>
      <c r="L90">
        <f t="shared" si="26"/>
        <v>133.27564799999985</v>
      </c>
      <c r="M90">
        <f t="shared" si="24"/>
        <v>0.37419481135876059</v>
      </c>
      <c r="N90">
        <f t="shared" si="27"/>
        <v>179.85704661375749</v>
      </c>
      <c r="O90">
        <f t="shared" si="28"/>
        <v>96.452454575834153</v>
      </c>
      <c r="P90">
        <f t="shared" si="29"/>
        <v>83.404592037923337</v>
      </c>
      <c r="Q90">
        <f t="shared" si="30"/>
        <v>179.85704661375749</v>
      </c>
      <c r="R90" s="4"/>
    </row>
    <row r="91" spans="2:18" x14ac:dyDescent="0.3">
      <c r="B91">
        <f t="shared" si="31"/>
        <v>0.77000000000000046</v>
      </c>
      <c r="C91">
        <f t="shared" si="19"/>
        <v>1.9840305734077246E-2</v>
      </c>
      <c r="D91" s="6">
        <f t="shared" si="17"/>
        <v>0.33333333333333331</v>
      </c>
      <c r="E91" s="6">
        <f t="shared" si="25"/>
        <v>0.375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259.29000000000008</v>
      </c>
      <c r="L91">
        <f t="shared" si="26"/>
        <v>129.69391799999983</v>
      </c>
      <c r="M91">
        <f t="shared" si="24"/>
        <v>0.37432975209089592</v>
      </c>
      <c r="N91">
        <f t="shared" si="27"/>
        <v>178.20558724701135</v>
      </c>
      <c r="O91">
        <f t="shared" si="28"/>
        <v>97.059961419648431</v>
      </c>
      <c r="P91">
        <f t="shared" si="29"/>
        <v>81.145625827362906</v>
      </c>
      <c r="Q91">
        <f t="shared" si="30"/>
        <v>178.20558724701135</v>
      </c>
      <c r="R91" s="4"/>
    </row>
    <row r="92" spans="2:18" x14ac:dyDescent="0.3">
      <c r="B92">
        <f t="shared" si="31"/>
        <v>0.78000000000000047</v>
      </c>
      <c r="C92">
        <f t="shared" si="19"/>
        <v>1.6302499371440682E-2</v>
      </c>
      <c r="D92" s="6">
        <f t="shared" si="17"/>
        <v>0.33333333333333331</v>
      </c>
      <c r="E92" s="6">
        <f t="shared" si="25"/>
        <v>0.375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260.84000000000009</v>
      </c>
      <c r="L92">
        <f t="shared" si="26"/>
        <v>125.96988799999983</v>
      </c>
      <c r="M92">
        <f t="shared" si="24"/>
        <v>0.37444292794820117</v>
      </c>
      <c r="N92">
        <f t="shared" si="27"/>
        <v>176.47104762998174</v>
      </c>
      <c r="O92">
        <f t="shared" si="28"/>
        <v>97.669693326008826</v>
      </c>
      <c r="P92">
        <f t="shared" si="29"/>
        <v>78.801354303972929</v>
      </c>
      <c r="Q92">
        <f t="shared" si="30"/>
        <v>176.47104762998174</v>
      </c>
      <c r="R92" s="4"/>
    </row>
    <row r="93" spans="2:18" x14ac:dyDescent="0.3">
      <c r="B93">
        <f t="shared" si="31"/>
        <v>0.79000000000000048</v>
      </c>
      <c r="C93">
        <f t="shared" si="19"/>
        <v>1.3386917827664657E-2</v>
      </c>
      <c r="D93" s="6">
        <f t="shared" si="17"/>
        <v>0.33333333333333331</v>
      </c>
      <c r="E93" s="6">
        <f t="shared" si="25"/>
        <v>0.375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262.41000000000008</v>
      </c>
      <c r="L93">
        <f t="shared" si="26"/>
        <v>122.09983799999981</v>
      </c>
      <c r="M93">
        <f t="shared" si="24"/>
        <v>0.37453761037947031</v>
      </c>
      <c r="N93">
        <f t="shared" si="27"/>
        <v>174.65127078743626</v>
      </c>
      <c r="O93">
        <f t="shared" si="28"/>
        <v>98.282414339676833</v>
      </c>
      <c r="P93">
        <f t="shared" si="29"/>
        <v>76.368856447759441</v>
      </c>
      <c r="Q93">
        <f t="shared" si="30"/>
        <v>174.65127078743626</v>
      </c>
      <c r="R93" s="4"/>
    </row>
    <row r="94" spans="2:18" x14ac:dyDescent="0.3">
      <c r="B94">
        <f t="shared" si="31"/>
        <v>0.80000000000000049</v>
      </c>
      <c r="C94">
        <f t="shared" si="19"/>
        <v>1.0986942630593188E-2</v>
      </c>
      <c r="D94" s="6">
        <f t="shared" si="17"/>
        <v>0.33333333333333331</v>
      </c>
      <c r="E94" s="6">
        <f t="shared" si="25"/>
        <v>0.375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264.00000000000011</v>
      </c>
      <c r="L94">
        <f t="shared" si="26"/>
        <v>118.0799999999998</v>
      </c>
      <c r="M94">
        <f t="shared" si="24"/>
        <v>0.37461664943469419</v>
      </c>
      <c r="N94">
        <f t="shared" si="27"/>
        <v>172.74406148551049</v>
      </c>
      <c r="O94">
        <f t="shared" si="28"/>
        <v>98.898795450759309</v>
      </c>
      <c r="P94">
        <f t="shared" si="29"/>
        <v>73.845266034751191</v>
      </c>
      <c r="Q94">
        <f t="shared" si="30"/>
        <v>172.74406148551049</v>
      </c>
      <c r="R94" s="7"/>
    </row>
    <row r="95" spans="2:18" x14ac:dyDescent="0.3">
      <c r="B95">
        <f t="shared" si="31"/>
        <v>0.8100000000000005</v>
      </c>
      <c r="C95">
        <f t="shared" si="19"/>
        <v>9.0132986528477232E-3</v>
      </c>
      <c r="D95" s="6">
        <f t="shared" si="17"/>
        <v>0.33333333333333331</v>
      </c>
      <c r="E95" s="6">
        <f t="shared" si="25"/>
        <v>0.375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265.61000000000007</v>
      </c>
      <c r="L95">
        <f t="shared" si="26"/>
        <v>113.90655799999979</v>
      </c>
      <c r="M95">
        <f t="shared" si="24"/>
        <v>0.37468250591596219</v>
      </c>
      <c r="N95">
        <f t="shared" si="27"/>
        <v>170.74718380463673</v>
      </c>
      <c r="O95">
        <f t="shared" si="28"/>
        <v>99.519420396338745</v>
      </c>
      <c r="P95">
        <f t="shared" si="29"/>
        <v>71.227763408297974</v>
      </c>
      <c r="Q95">
        <f t="shared" si="30"/>
        <v>170.74718380463673</v>
      </c>
      <c r="R95" s="4"/>
    </row>
    <row r="96" spans="2:18" x14ac:dyDescent="0.3">
      <c r="B96">
        <f t="shared" si="31"/>
        <v>0.82000000000000051</v>
      </c>
      <c r="C96">
        <f t="shared" si="19"/>
        <v>7.3915413442818823E-3</v>
      </c>
      <c r="D96" s="6">
        <f t="shared" si="17"/>
        <v>0.33333333333333331</v>
      </c>
      <c r="E96" s="6">
        <f t="shared" si="25"/>
        <v>0.375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267.24000000000007</v>
      </c>
      <c r="L96">
        <f t="shared" si="26"/>
        <v>109.57564799999979</v>
      </c>
      <c r="M96">
        <f t="shared" si="24"/>
        <v>0.37473728910277371</v>
      </c>
      <c r="N96">
        <f t="shared" si="27"/>
        <v>168.65835985662537</v>
      </c>
      <c r="O96">
        <f t="shared" si="28"/>
        <v>100.14479313982527</v>
      </c>
      <c r="P96">
        <f t="shared" si="29"/>
        <v>68.513566716800099</v>
      </c>
      <c r="Q96">
        <f t="shared" si="30"/>
        <v>168.65835985662537</v>
      </c>
      <c r="R96" s="4"/>
    </row>
    <row r="97" spans="2:18" x14ac:dyDescent="0.3">
      <c r="B97">
        <f t="shared" si="31"/>
        <v>0.83000000000000052</v>
      </c>
      <c r="C97">
        <f t="shared" si="19"/>
        <v>6.059801491584027E-3</v>
      </c>
      <c r="D97" s="6">
        <f t="shared" si="17"/>
        <v>0.33333333333333331</v>
      </c>
      <c r="E97" s="6">
        <f t="shared" si="25"/>
        <v>0.375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268.8900000000001</v>
      </c>
      <c r="L97">
        <f t="shared" si="26"/>
        <v>105.08335799999978</v>
      </c>
      <c r="M97">
        <f t="shared" si="24"/>
        <v>0.37478279616130122</v>
      </c>
      <c r="N97">
        <f t="shared" si="27"/>
        <v>166.47526931855313</v>
      </c>
      <c r="O97">
        <f t="shared" si="28"/>
        <v>100.77534605981232</v>
      </c>
      <c r="P97">
        <f t="shared" si="29"/>
        <v>65.69992325874081</v>
      </c>
      <c r="Q97">
        <f t="shared" si="30"/>
        <v>166.47526931855313</v>
      </c>
      <c r="R97" s="4"/>
    </row>
    <row r="98" spans="2:18" x14ac:dyDescent="0.3">
      <c r="B98">
        <f t="shared" si="31"/>
        <v>0.84000000000000052</v>
      </c>
      <c r="C98">
        <f t="shared" si="19"/>
        <v>4.9668016500568068E-3</v>
      </c>
      <c r="D98" s="6">
        <f t="shared" si="17"/>
        <v>0.33333333333333331</v>
      </c>
      <c r="E98" s="6">
        <f t="shared" si="25"/>
        <v>0.375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270.56000000000006</v>
      </c>
      <c r="L98">
        <f t="shared" si="26"/>
        <v>100.42572799999975</v>
      </c>
      <c r="M98">
        <f t="shared" si="24"/>
        <v>0.3748205507393737</v>
      </c>
      <c r="N98">
        <f t="shared" si="27"/>
        <v>164.19554953068229</v>
      </c>
      <c r="O98">
        <f t="shared" si="28"/>
        <v>101.41144820804497</v>
      </c>
      <c r="P98">
        <f t="shared" si="29"/>
        <v>62.784101322637305</v>
      </c>
      <c r="Q98">
        <f t="shared" si="30"/>
        <v>164.19554953068229</v>
      </c>
      <c r="R98" s="4"/>
    </row>
    <row r="99" spans="2:18" x14ac:dyDescent="0.3">
      <c r="B99">
        <f t="shared" si="31"/>
        <v>0.85000000000000053</v>
      </c>
      <c r="C99">
        <f t="shared" si="19"/>
        <v>4.0701377158960383E-3</v>
      </c>
      <c r="D99" s="6">
        <f t="shared" si="17"/>
        <v>0.33333333333333331</v>
      </c>
      <c r="E99" s="6">
        <f t="shared" si="25"/>
        <v>0.375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272.25000000000011</v>
      </c>
      <c r="L99">
        <f t="shared" si="26"/>
        <v>95.59874999999974</v>
      </c>
      <c r="M99">
        <f t="shared" si="24"/>
        <v>0.37485183924648241</v>
      </c>
      <c r="N99">
        <f t="shared" si="27"/>
        <v>161.81679596769004</v>
      </c>
      <c r="O99">
        <f t="shared" si="28"/>
        <v>102.05341323485487</v>
      </c>
      <c r="P99">
        <f t="shared" si="29"/>
        <v>59.763382732835183</v>
      </c>
      <c r="Q99">
        <f t="shared" si="30"/>
        <v>161.81679596769004</v>
      </c>
      <c r="R99" s="4"/>
    </row>
    <row r="100" spans="2:18" x14ac:dyDescent="0.3">
      <c r="B100">
        <f t="shared" si="31"/>
        <v>0.86000000000000054</v>
      </c>
      <c r="C100">
        <f t="shared" si="19"/>
        <v>3.3348073074133122E-3</v>
      </c>
      <c r="D100" s="6">
        <f t="shared" si="17"/>
        <v>0.33333333333333331</v>
      </c>
      <c r="E100" s="6">
        <f t="shared" si="25"/>
        <v>0.375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273.96000000000009</v>
      </c>
      <c r="L100">
        <f t="shared" si="26"/>
        <v>90.598367999999724</v>
      </c>
      <c r="M100">
        <f t="shared" si="24"/>
        <v>0.37487774401095603</v>
      </c>
      <c r="N100">
        <f t="shared" si="27"/>
        <v>159.33656294232696</v>
      </c>
      <c r="O100">
        <f t="shared" si="28"/>
        <v>102.70150674924155</v>
      </c>
      <c r="P100">
        <f t="shared" si="29"/>
        <v>56.635056193085433</v>
      </c>
      <c r="Q100">
        <f t="shared" si="30"/>
        <v>159.33656294232696</v>
      </c>
      <c r="R100" s="4"/>
    </row>
    <row r="101" spans="2:18" x14ac:dyDescent="0.3">
      <c r="B101">
        <f t="shared" si="31"/>
        <v>0.87000000000000055</v>
      </c>
      <c r="C101">
        <f t="shared" si="19"/>
        <v>2.7319607630109655E-3</v>
      </c>
      <c r="D101" s="6">
        <f t="shared" si="17"/>
        <v>0.33333333333333331</v>
      </c>
      <c r="E101" s="6">
        <f t="shared" si="25"/>
        <v>0.375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275.69000000000011</v>
      </c>
      <c r="L101">
        <f t="shared" si="26"/>
        <v>85.420477999999719</v>
      </c>
      <c r="M101">
        <f t="shared" si="24"/>
        <v>0.37489917297209752</v>
      </c>
      <c r="N101">
        <f t="shared" si="27"/>
        <v>156.75236443959619</v>
      </c>
      <c r="O101">
        <f t="shared" si="28"/>
        <v>103.3559529966776</v>
      </c>
      <c r="P101">
        <f t="shared" si="29"/>
        <v>53.396411442918577</v>
      </c>
      <c r="Q101">
        <f t="shared" si="30"/>
        <v>156.75236443959619</v>
      </c>
      <c r="R101" s="4"/>
    </row>
    <row r="102" spans="2:18" x14ac:dyDescent="0.3">
      <c r="B102">
        <f t="shared" si="31"/>
        <v>0.88000000000000056</v>
      </c>
      <c r="C102">
        <f t="shared" si="19"/>
        <v>2.2378485212761756E-3</v>
      </c>
      <c r="D102" s="6">
        <f t="shared" si="17"/>
        <v>0.33333333333333331</v>
      </c>
      <c r="E102" s="6">
        <f t="shared" si="25"/>
        <v>0.375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277.44000000000011</v>
      </c>
      <c r="L102">
        <f t="shared" si="26"/>
        <v>80.060927999999691</v>
      </c>
      <c r="M102">
        <f t="shared" si="24"/>
        <v>0.37491688586611538</v>
      </c>
      <c r="N102">
        <f t="shared" si="27"/>
        <v>154.06167500938361</v>
      </c>
      <c r="O102">
        <f t="shared" si="28"/>
        <v>104.01694081469509</v>
      </c>
      <c r="P102">
        <f t="shared" si="29"/>
        <v>50.044734194688523</v>
      </c>
      <c r="Q102">
        <f t="shared" si="30"/>
        <v>154.06167500938361</v>
      </c>
      <c r="R102" s="4"/>
    </row>
    <row r="103" spans="2:18" x14ac:dyDescent="0.3">
      <c r="B103">
        <f t="shared" si="31"/>
        <v>0.89000000000000057</v>
      </c>
      <c r="C103">
        <f t="shared" si="19"/>
        <v>1.8329389424928122E-3</v>
      </c>
      <c r="D103" s="6">
        <f t="shared" si="17"/>
        <v>0.33333333333333331</v>
      </c>
      <c r="E103" s="6">
        <f t="shared" si="25"/>
        <v>0.375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279.21000000000009</v>
      </c>
      <c r="L103">
        <f t="shared" si="26"/>
        <v>74.515517999999673</v>
      </c>
      <c r="M103">
        <f t="shared" si="24"/>
        <v>0.37493151704944433</v>
      </c>
      <c r="N103">
        <f t="shared" si="27"/>
        <v>151.26193066791001</v>
      </c>
      <c r="O103">
        <f t="shared" si="28"/>
        <v>104.68462887537538</v>
      </c>
      <c r="P103">
        <f t="shared" si="29"/>
        <v>46.577301792534627</v>
      </c>
      <c r="Q103">
        <f t="shared" si="30"/>
        <v>151.26193066791001</v>
      </c>
      <c r="R103" s="4"/>
    </row>
    <row r="104" spans="2:18" x14ac:dyDescent="0.3">
      <c r="B104">
        <f t="shared" si="31"/>
        <v>0.90000000000000058</v>
      </c>
      <c r="C104">
        <f t="shared" si="19"/>
        <v>1.5011822567370103E-3</v>
      </c>
      <c r="D104" s="6">
        <f t="shared" si="17"/>
        <v>0.33333333333333331</v>
      </c>
      <c r="E104" s="6">
        <f t="shared" si="25"/>
        <v>0.375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281.00000000000011</v>
      </c>
      <c r="L104">
        <f t="shared" si="26"/>
        <v>68.77999999999966</v>
      </c>
      <c r="M104">
        <f t="shared" si="24"/>
        <v>0.37494359520772169</v>
      </c>
      <c r="N104">
        <f t="shared" si="27"/>
        <v>148.35052977498253</v>
      </c>
      <c r="O104">
        <f t="shared" si="28"/>
        <v>105.35915025336983</v>
      </c>
      <c r="P104">
        <f t="shared" si="29"/>
        <v>42.991379521612693</v>
      </c>
      <c r="Q104">
        <f t="shared" si="30"/>
        <v>148.35052977498253</v>
      </c>
      <c r="R104" s="4"/>
    </row>
    <row r="105" spans="2:18" x14ac:dyDescent="0.3">
      <c r="B105">
        <f t="shared" si="31"/>
        <v>0.91000000000000059</v>
      </c>
      <c r="C105">
        <f t="shared" si="19"/>
        <v>1.2293986212773556E-3</v>
      </c>
      <c r="D105" s="6">
        <f t="shared" si="17"/>
        <v>0.33333333333333331</v>
      </c>
      <c r="E105" s="6">
        <f t="shared" si="25"/>
        <v>0.375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282.81000000000012</v>
      </c>
      <c r="L105">
        <f t="shared" si="26"/>
        <v>62.850077999999655</v>
      </c>
      <c r="M105">
        <f t="shared" si="24"/>
        <v>0.37495356024963045</v>
      </c>
      <c r="N105">
        <f t="shared" si="27"/>
        <v>145.32483386613083</v>
      </c>
      <c r="O105">
        <f t="shared" si="28"/>
        <v>106.04061637419802</v>
      </c>
      <c r="P105">
        <f t="shared" si="29"/>
        <v>39.284217491932814</v>
      </c>
      <c r="Q105">
        <f t="shared" si="30"/>
        <v>145.32483386613083</v>
      </c>
      <c r="R105" s="4"/>
    </row>
    <row r="106" spans="2:18" x14ac:dyDescent="0.3">
      <c r="B106">
        <f t="shared" si="31"/>
        <v>0.9200000000000006</v>
      </c>
      <c r="C106">
        <f t="shared" si="19"/>
        <v>1.0067708200856007E-3</v>
      </c>
      <c r="D106" s="6">
        <f t="shared" si="17"/>
        <v>0.33333333333333331</v>
      </c>
      <c r="E106" s="6">
        <f t="shared" si="25"/>
        <v>0.375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284.6400000000001</v>
      </c>
      <c r="L106">
        <f t="shared" si="26"/>
        <v>56.721407999999656</v>
      </c>
      <c r="M106">
        <f t="shared" si="24"/>
        <v>0.37496177770084915</v>
      </c>
      <c r="N106">
        <f t="shared" si="27"/>
        <v>142.18216842739437</v>
      </c>
      <c r="O106">
        <f t="shared" si="28"/>
        <v>106.72912040476974</v>
      </c>
      <c r="P106">
        <f t="shared" si="29"/>
        <v>35.453048022624621</v>
      </c>
      <c r="Q106">
        <f t="shared" si="30"/>
        <v>142.18216842739437</v>
      </c>
      <c r="R106" s="4"/>
    </row>
    <row r="107" spans="2:18" x14ac:dyDescent="0.3">
      <c r="B107">
        <f t="shared" si="31"/>
        <v>0.9300000000000006</v>
      </c>
      <c r="C107">
        <f t="shared" si="19"/>
        <v>8.2442468639831734E-4</v>
      </c>
      <c r="D107" s="6">
        <f t="shared" si="17"/>
        <v>0.33333333333333331</v>
      </c>
      <c r="E107" s="6">
        <f t="shared" si="25"/>
        <v>0.375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286.49000000000012</v>
      </c>
      <c r="L107">
        <f t="shared" si="26"/>
        <v>50.389597999999637</v>
      </c>
      <c r="M107">
        <f t="shared" si="24"/>
        <v>0.37496855090762093</v>
      </c>
      <c r="N107">
        <f t="shared" si="27"/>
        <v>138.91982360664659</v>
      </c>
      <c r="O107">
        <f t="shared" si="28"/>
        <v>107.42474014952437</v>
      </c>
      <c r="P107">
        <f t="shared" si="29"/>
        <v>31.49508345712222</v>
      </c>
      <c r="Q107">
        <f t="shared" si="30"/>
        <v>138.91982360664659</v>
      </c>
      <c r="R107" s="4"/>
    </row>
    <row r="108" spans="2:18" x14ac:dyDescent="0.3">
      <c r="B108">
        <f t="shared" si="31"/>
        <v>0.94000000000000061</v>
      </c>
      <c r="C108">
        <f t="shared" si="19"/>
        <v>6.7508273063277002E-4</v>
      </c>
      <c r="D108" s="6">
        <f t="shared" si="17"/>
        <v>0.33333333333333331</v>
      </c>
      <c r="E108" s="6">
        <f t="shared" si="25"/>
        <v>0.375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288.36000000000013</v>
      </c>
      <c r="L108">
        <f t="shared" si="26"/>
        <v>43.850207999999583</v>
      </c>
      <c r="M108">
        <f t="shared" si="24"/>
        <v>0.37497413134096802</v>
      </c>
      <c r="N108">
        <f t="shared" si="27"/>
        <v>135.53505485956057</v>
      </c>
      <c r="O108">
        <f t="shared" si="28"/>
        <v>108.12754051348159</v>
      </c>
      <c r="P108">
        <f t="shared" si="29"/>
        <v>27.407514346078973</v>
      </c>
      <c r="Q108">
        <f t="shared" si="30"/>
        <v>135.53505485956057</v>
      </c>
      <c r="R108" s="4"/>
    </row>
    <row r="109" spans="2:18" x14ac:dyDescent="0.3">
      <c r="B109">
        <f t="shared" si="31"/>
        <v>0.95000000000000062</v>
      </c>
      <c r="C109">
        <f t="shared" si="19"/>
        <v>5.5277863692360096E-4</v>
      </c>
      <c r="D109" s="6">
        <f t="shared" si="17"/>
        <v>0.33333333333333331</v>
      </c>
      <c r="E109" s="6">
        <f t="shared" si="25"/>
        <v>0.375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290.25000000000011</v>
      </c>
      <c r="L109">
        <f t="shared" si="26"/>
        <v>37.098749999999569</v>
      </c>
      <c r="M109">
        <f t="shared" si="24"/>
        <v>0.37497872726738662</v>
      </c>
      <c r="N109">
        <f t="shared" si="27"/>
        <v>132.02508353114777</v>
      </c>
      <c r="O109">
        <f t="shared" si="28"/>
        <v>108.83757558935901</v>
      </c>
      <c r="P109">
        <f t="shared" si="29"/>
        <v>23.187507941788773</v>
      </c>
      <c r="Q109">
        <f t="shared" si="30"/>
        <v>132.02508353114777</v>
      </c>
      <c r="R109" s="4"/>
    </row>
    <row r="110" spans="2:18" x14ac:dyDescent="0.3">
      <c r="B110">
        <f t="shared" si="31"/>
        <v>0.96000000000000063</v>
      </c>
      <c r="C110">
        <f t="shared" si="19"/>
        <v>4.5262222324049528E-4</v>
      </c>
      <c r="D110" s="6">
        <f t="shared" si="17"/>
        <v>0.33333333333333331</v>
      </c>
      <c r="E110" s="6">
        <f t="shared" si="25"/>
        <v>0.375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292.16000000000014</v>
      </c>
      <c r="L110">
        <f t="shared" si="26"/>
        <v>30.130687999999566</v>
      </c>
      <c r="M110">
        <f t="shared" si="24"/>
        <v>0.37498251102389157</v>
      </c>
      <c r="N110">
        <f t="shared" si="27"/>
        <v>128.38709737562249</v>
      </c>
      <c r="O110">
        <f t="shared" si="28"/>
        <v>109.55489042074021</v>
      </c>
      <c r="P110">
        <f t="shared" si="29"/>
        <v>18.832206954882292</v>
      </c>
      <c r="Q110">
        <f t="shared" si="30"/>
        <v>128.38709737562249</v>
      </c>
      <c r="R110" s="4"/>
    </row>
    <row r="111" spans="2:18" x14ac:dyDescent="0.3">
      <c r="B111">
        <f t="shared" si="31"/>
        <v>0.97000000000000064</v>
      </c>
      <c r="C111">
        <f t="shared" si="19"/>
        <v>3.7060614062645048E-4</v>
      </c>
      <c r="D111" s="6">
        <f t="shared" si="17"/>
        <v>0.33333333333333331</v>
      </c>
      <c r="E111" s="6">
        <f t="shared" si="25"/>
        <v>0.375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294.09000000000015</v>
      </c>
      <c r="L111">
        <f t="shared" si="26"/>
        <v>22.941437999999494</v>
      </c>
      <c r="M111">
        <f t="shared" si="24"/>
        <v>0.37498562510703826</v>
      </c>
      <c r="N111">
        <f t="shared" si="27"/>
        <v>124.61825101844425</v>
      </c>
      <c r="O111">
        <f t="shared" si="28"/>
        <v>110.27952248772894</v>
      </c>
      <c r="P111">
        <f t="shared" si="29"/>
        <v>14.338728530715322</v>
      </c>
      <c r="Q111">
        <f t="shared" si="30"/>
        <v>124.61825101844425</v>
      </c>
      <c r="R111" s="4"/>
    </row>
    <row r="112" spans="2:18" x14ac:dyDescent="0.3">
      <c r="B112">
        <f t="shared" si="31"/>
        <v>0.98000000000000065</v>
      </c>
      <c r="C112">
        <f t="shared" si="19"/>
        <v>3.03447030028825E-4</v>
      </c>
      <c r="D112" s="6">
        <f t="shared" si="17"/>
        <v>0.33333333333333331</v>
      </c>
      <c r="E112" s="6">
        <f t="shared" si="25"/>
        <v>0.375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296.04000000000013</v>
      </c>
      <c r="L112">
        <f t="shared" si="26"/>
        <v>15.526367999999508</v>
      </c>
      <c r="M112">
        <f t="shared" si="24"/>
        <v>0.37498818725852234</v>
      </c>
      <c r="N112">
        <f t="shared" si="27"/>
        <v>120.71566636498397</v>
      </c>
      <c r="O112">
        <f t="shared" si="28"/>
        <v>111.011502956013</v>
      </c>
      <c r="P112">
        <f t="shared" si="29"/>
        <v>9.7041634089709632</v>
      </c>
      <c r="Q112">
        <f t="shared" si="30"/>
        <v>120.71566636498397</v>
      </c>
      <c r="R112" s="4"/>
    </row>
    <row r="113" spans="2:18" x14ac:dyDescent="0.3">
      <c r="B113">
        <f t="shared" si="31"/>
        <v>0.99000000000000066</v>
      </c>
      <c r="C113">
        <f t="shared" si="19"/>
        <v>2.4845508183946041E-4</v>
      </c>
      <c r="D113" s="6">
        <f t="shared" si="17"/>
        <v>0.33333333333333331</v>
      </c>
      <c r="E113" s="6">
        <f t="shared" si="25"/>
        <v>0.375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298.0100000000001</v>
      </c>
      <c r="L113">
        <f t="shared" si="26"/>
        <v>7.880797999999487</v>
      </c>
      <c r="M113">
        <f t="shared" si="24"/>
        <v>0.3749902947049743</v>
      </c>
      <c r="N113">
        <f t="shared" si="27"/>
        <v>116.67643296049874</v>
      </c>
      <c r="O113">
        <f t="shared" si="28"/>
        <v>111.75085772502943</v>
      </c>
      <c r="P113">
        <f t="shared" si="29"/>
        <v>4.9255752354693065</v>
      </c>
      <c r="Q113">
        <f t="shared" si="30"/>
        <v>116.67643296049874</v>
      </c>
      <c r="R113" s="4"/>
    </row>
    <row r="114" spans="2:18" x14ac:dyDescent="0.3">
      <c r="B114">
        <f t="shared" si="31"/>
        <v>1.0000000000000007</v>
      </c>
      <c r="C114">
        <f t="shared" si="19"/>
        <v>2.0342697805519894E-4</v>
      </c>
      <c r="D114" s="6">
        <f t="shared" si="17"/>
        <v>0.33333333333333331</v>
      </c>
      <c r="E114" s="6">
        <f t="shared" si="25"/>
        <v>0.375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300.00000000000011</v>
      </c>
      <c r="L114">
        <f t="shared" si="26"/>
        <v>-5.4001247917767614E-13</v>
      </c>
      <c r="M114">
        <f t="shared" si="24"/>
        <v>0.37499202768701978</v>
      </c>
      <c r="N114">
        <f t="shared" si="27"/>
        <v>112.49760830610563</v>
      </c>
      <c r="O114">
        <f t="shared" si="28"/>
        <v>112.49760830610597</v>
      </c>
      <c r="P114">
        <f t="shared" si="29"/>
        <v>-3.3751210463454484E-13</v>
      </c>
      <c r="Q114">
        <f t="shared" si="30"/>
        <v>112.49760830610563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8602-8964-4AFF-A868-E5C7D71711BC}">
  <dimension ref="B1:R1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20</v>
      </c>
      <c r="C4" s="12">
        <v>50</v>
      </c>
      <c r="D4" s="12">
        <v>10</v>
      </c>
      <c r="E4" s="12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17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20</v>
      </c>
      <c r="C10" s="5">
        <f t="shared" ref="C10:E10" si="0">C4+C7</f>
        <v>50</v>
      </c>
      <c r="D10" s="5">
        <f t="shared" si="0"/>
        <v>27</v>
      </c>
      <c r="E10" s="5">
        <f t="shared" si="0"/>
        <v>30</v>
      </c>
      <c r="G10" s="10">
        <f>F7-0.25*D7-E7</f>
        <v>195.75</v>
      </c>
      <c r="K10" s="1">
        <v>1</v>
      </c>
      <c r="M10" s="1">
        <v>0.5</v>
      </c>
      <c r="N10" s="1">
        <v>0.65</v>
      </c>
      <c r="Q10" s="2" t="s">
        <v>22</v>
      </c>
      <c r="R10" s="17">
        <f>MAX(Q14:Q114)</f>
        <v>204.47888334884607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0.99998987000901918</v>
      </c>
      <c r="D14" s="6">
        <f t="shared" ref="D14:D77" si="1">$D$10/($D$10+$B$10)</f>
        <v>0.57446808510638303</v>
      </c>
      <c r="E14" s="6">
        <f>$E$10/($E$10+$C$10)</f>
        <v>0.375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195.75</v>
      </c>
      <c r="L14">
        <f>$G$10+I14</f>
        <v>195.75</v>
      </c>
      <c r="M14">
        <f>C14*D14^(1-EXP(-5*B14))+(1-C14)*E14</f>
        <v>0.999993668755637</v>
      </c>
      <c r="N14" s="3">
        <f>M14*K14+(1-M14)*L14</f>
        <v>195.75</v>
      </c>
      <c r="O14">
        <f>K14*M14</f>
        <v>195.74876065891596</v>
      </c>
      <c r="P14">
        <f>(1-M14)*L14</f>
        <v>1.2393410840573216E-3</v>
      </c>
      <c r="Q14">
        <f>P14+O14</f>
        <v>195.75</v>
      </c>
    </row>
    <row r="15" spans="2:18" x14ac:dyDescent="0.3">
      <c r="B15">
        <v>0.01</v>
      </c>
      <c r="C15">
        <f t="shared" ref="C15:C78" si="3">1-1/(1+EXP(-20*(B15-(($N$10+$M$10)/2))))</f>
        <v>0.99998762722882562</v>
      </c>
      <c r="D15" s="6">
        <f>$D$10/($D$10+$B$10)</f>
        <v>0.57446808510638303</v>
      </c>
      <c r="E15" s="6">
        <f>$E$10/($E$10+$C$10)</f>
        <v>0.375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195.76</v>
      </c>
      <c r="L15">
        <f>$G$10+I15</f>
        <v>195.74999800000001</v>
      </c>
      <c r="M15">
        <f t="shared" ref="M15:M78" si="8">C15*D15^(1-EXP(-5*B15))+(1-C15)*E15</f>
        <v>0.97332069267153964</v>
      </c>
      <c r="N15">
        <f>M15*K15+(1-M15)*L15</f>
        <v>195.75973315356808</v>
      </c>
      <c r="O15">
        <f>K15*M15</f>
        <v>190.53725879738059</v>
      </c>
      <c r="P15">
        <f>(1-M15)*L15</f>
        <v>5.2224743561875</v>
      </c>
      <c r="Q15">
        <f>P15+O15</f>
        <v>195.75973315356808</v>
      </c>
      <c r="R15" s="4"/>
    </row>
    <row r="16" spans="2:18" x14ac:dyDescent="0.3">
      <c r="B16">
        <f>B15+0.01</f>
        <v>0.02</v>
      </c>
      <c r="C16">
        <f t="shared" si="3"/>
        <v>0.99998488790455897</v>
      </c>
      <c r="D16" s="6">
        <f t="shared" si="1"/>
        <v>0.57446808510638303</v>
      </c>
      <c r="E16" s="6">
        <f t="shared" ref="E16:E79" si="9">$E$10/($E$10+$C$10)</f>
        <v>0.375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195.79</v>
      </c>
      <c r="L16">
        <f t="shared" ref="L16:L79" si="10">$G$10+I16</f>
        <v>195.749968</v>
      </c>
      <c r="M16">
        <f t="shared" si="8"/>
        <v>0.94860880928692004</v>
      </c>
      <c r="N16">
        <f t="shared" ref="N16:N79" si="11">M16*K16+(1-M16)*L16</f>
        <v>195.78794270785338</v>
      </c>
      <c r="O16">
        <f t="shared" ref="O16:O79" si="12">K16*M16</f>
        <v>185.72811877028607</v>
      </c>
      <c r="P16">
        <f t="shared" ref="P16:P79" si="13">(1-M16)*L16</f>
        <v>10.059823937567298</v>
      </c>
      <c r="Q16">
        <f t="shared" ref="Q16:Q79" si="14">P16+O16</f>
        <v>195.78794270785338</v>
      </c>
      <c r="R16" s="4"/>
    </row>
    <row r="17" spans="2:18" x14ac:dyDescent="0.3">
      <c r="B17">
        <f t="shared" ref="B17:B80" si="15">B16+0.01</f>
        <v>0.03</v>
      </c>
      <c r="C17">
        <f t="shared" si="3"/>
        <v>0.99998154210670431</v>
      </c>
      <c r="D17" s="6">
        <f t="shared" si="1"/>
        <v>0.57446808510638303</v>
      </c>
      <c r="E17" s="6">
        <f t="shared" si="9"/>
        <v>0.375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195.84</v>
      </c>
      <c r="L17">
        <f t="shared" si="10"/>
        <v>195.74983800000001</v>
      </c>
      <c r="M17">
        <f t="shared" si="8"/>
        <v>0.92568428749194354</v>
      </c>
      <c r="N17">
        <f t="shared" si="11"/>
        <v>195.83329954672885</v>
      </c>
      <c r="O17">
        <f t="shared" si="12"/>
        <v>181.28601086242222</v>
      </c>
      <c r="P17">
        <f t="shared" si="13"/>
        <v>14.547288684306627</v>
      </c>
      <c r="Q17">
        <f t="shared" si="14"/>
        <v>195.83329954672885</v>
      </c>
      <c r="R17" s="4"/>
    </row>
    <row r="18" spans="2:18" x14ac:dyDescent="0.3">
      <c r="B18">
        <f t="shared" si="15"/>
        <v>0.04</v>
      </c>
      <c r="C18">
        <f t="shared" si="3"/>
        <v>0.99997745557034956</v>
      </c>
      <c r="D18" s="6">
        <f t="shared" si="1"/>
        <v>0.57446808510638303</v>
      </c>
      <c r="E18" s="6">
        <f t="shared" si="9"/>
        <v>0.375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195.91</v>
      </c>
      <c r="L18">
        <f t="shared" si="10"/>
        <v>195.74948800000001</v>
      </c>
      <c r="M18">
        <f t="shared" si="8"/>
        <v>0.90439172677974788</v>
      </c>
      <c r="N18">
        <f t="shared" si="11"/>
        <v>195.89465372484887</v>
      </c>
      <c r="O18">
        <f t="shared" si="12"/>
        <v>177.17938319342039</v>
      </c>
      <c r="P18">
        <f t="shared" si="13"/>
        <v>18.715270531428462</v>
      </c>
      <c r="Q18">
        <f t="shared" si="14"/>
        <v>195.89465372484887</v>
      </c>
      <c r="R18" s="4"/>
    </row>
    <row r="19" spans="2:18" x14ac:dyDescent="0.3">
      <c r="B19">
        <f t="shared" si="15"/>
        <v>0.05</v>
      </c>
      <c r="C19">
        <f t="shared" si="3"/>
        <v>0.99997246430888542</v>
      </c>
      <c r="D19" s="6">
        <f t="shared" si="1"/>
        <v>0.57446808510638303</v>
      </c>
      <c r="E19" s="6">
        <f t="shared" si="9"/>
        <v>0.375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196</v>
      </c>
      <c r="L19">
        <f t="shared" si="10"/>
        <v>195.74875</v>
      </c>
      <c r="M19">
        <f t="shared" si="8"/>
        <v>0.88459181741902304</v>
      </c>
      <c r="N19">
        <f t="shared" si="11"/>
        <v>195.97100369412652</v>
      </c>
      <c r="O19">
        <f t="shared" si="12"/>
        <v>173.37999621412851</v>
      </c>
      <c r="P19">
        <f t="shared" si="13"/>
        <v>22.591007479998012</v>
      </c>
      <c r="Q19">
        <f t="shared" si="14"/>
        <v>195.97100369412652</v>
      </c>
      <c r="R19" s="4"/>
    </row>
    <row r="20" spans="2:18" x14ac:dyDescent="0.3">
      <c r="B20">
        <f t="shared" si="15"/>
        <v>6.0000000000000005E-2</v>
      </c>
      <c r="C20">
        <f t="shared" si="3"/>
        <v>0.99996636803596128</v>
      </c>
      <c r="D20" s="6">
        <f t="shared" si="1"/>
        <v>0.57446808510638303</v>
      </c>
      <c r="E20" s="6">
        <f t="shared" si="9"/>
        <v>0.375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196.11</v>
      </c>
      <c r="L20">
        <f t="shared" si="10"/>
        <v>195.74740800000001</v>
      </c>
      <c r="M20">
        <f t="shared" si="8"/>
        <v>0.86615940719599316</v>
      </c>
      <c r="N20">
        <f t="shared" si="11"/>
        <v>196.06147047177402</v>
      </c>
      <c r="O20">
        <f t="shared" si="12"/>
        <v>169.86252134520623</v>
      </c>
      <c r="P20">
        <f t="shared" si="13"/>
        <v>26.198949126567793</v>
      </c>
      <c r="Q20">
        <f t="shared" si="14"/>
        <v>196.06147047177402</v>
      </c>
      <c r="R20" s="4"/>
    </row>
    <row r="21" spans="2:18" x14ac:dyDescent="0.3">
      <c r="B21">
        <f t="shared" si="15"/>
        <v>7.0000000000000007E-2</v>
      </c>
      <c r="C21">
        <f t="shared" si="3"/>
        <v>0.99995892213223525</v>
      </c>
      <c r="D21" s="6">
        <f t="shared" si="1"/>
        <v>0.57446808510638303</v>
      </c>
      <c r="E21" s="6">
        <f t="shared" si="9"/>
        <v>0.375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196.24</v>
      </c>
      <c r="L21">
        <f t="shared" si="10"/>
        <v>195.74519799999999</v>
      </c>
      <c r="M21">
        <f t="shared" si="8"/>
        <v>0.84898182836496972</v>
      </c>
      <c r="N21">
        <f t="shared" si="11"/>
        <v>196.16527590663864</v>
      </c>
      <c r="O21">
        <f t="shared" si="12"/>
        <v>166.60419399834166</v>
      </c>
      <c r="P21">
        <f t="shared" si="13"/>
        <v>29.561081908296984</v>
      </c>
      <c r="Q21">
        <f t="shared" si="14"/>
        <v>196.16527590663864</v>
      </c>
      <c r="R21" s="4"/>
    </row>
    <row r="22" spans="2:18" x14ac:dyDescent="0.3">
      <c r="B22">
        <f t="shared" si="15"/>
        <v>0.08</v>
      </c>
      <c r="C22">
        <f t="shared" si="3"/>
        <v>0.99994982783531627</v>
      </c>
      <c r="D22" s="6">
        <f t="shared" si="1"/>
        <v>0.57446808510638303</v>
      </c>
      <c r="E22" s="6">
        <f t="shared" si="9"/>
        <v>0.375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196.39</v>
      </c>
      <c r="L22">
        <f t="shared" si="10"/>
        <v>195.74180799999999</v>
      </c>
      <c r="M22">
        <f t="shared" si="8"/>
        <v>0.83295744601601807</v>
      </c>
      <c r="N22">
        <f t="shared" si="11"/>
        <v>196.28172435284802</v>
      </c>
      <c r="O22">
        <f t="shared" si="12"/>
        <v>163.58451282308579</v>
      </c>
      <c r="P22">
        <f t="shared" si="13"/>
        <v>32.697211529762228</v>
      </c>
      <c r="Q22">
        <f t="shared" si="14"/>
        <v>196.28172435284802</v>
      </c>
      <c r="R22" s="4"/>
    </row>
    <row r="23" spans="2:18" x14ac:dyDescent="0.3">
      <c r="B23">
        <f t="shared" si="15"/>
        <v>0.09</v>
      </c>
      <c r="C23">
        <f t="shared" si="3"/>
        <v>0.99993872026038344</v>
      </c>
      <c r="D23" s="6">
        <f t="shared" si="1"/>
        <v>0.57446808510638303</v>
      </c>
      <c r="E23" s="6">
        <f t="shared" si="9"/>
        <v>0.375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196.56</v>
      </c>
      <c r="L23">
        <f t="shared" si="10"/>
        <v>195.73687799999999</v>
      </c>
      <c r="M23">
        <f t="shared" si="8"/>
        <v>0.81799439530060936</v>
      </c>
      <c r="N23">
        <f t="shared" si="11"/>
        <v>196.41018718264863</v>
      </c>
      <c r="O23">
        <f t="shared" si="12"/>
        <v>160.78497834028778</v>
      </c>
      <c r="P23">
        <f t="shared" si="13"/>
        <v>35.625208842360848</v>
      </c>
      <c r="Q23">
        <f t="shared" si="14"/>
        <v>196.41018718264863</v>
      </c>
      <c r="R23" s="4"/>
    </row>
    <row r="24" spans="2:18" x14ac:dyDescent="0.3">
      <c r="B24">
        <f t="shared" si="15"/>
        <v>9.9999999999999992E-2</v>
      </c>
      <c r="C24">
        <f t="shared" si="3"/>
        <v>0.99992515377248936</v>
      </c>
      <c r="D24" s="6">
        <f t="shared" si="1"/>
        <v>0.57446808510638303</v>
      </c>
      <c r="E24" s="6">
        <f t="shared" si="9"/>
        <v>0.375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196.75</v>
      </c>
      <c r="L24">
        <f t="shared" si="10"/>
        <v>195.73</v>
      </c>
      <c r="M24">
        <f t="shared" si="8"/>
        <v>0.80400948010106521</v>
      </c>
      <c r="N24">
        <f t="shared" si="11"/>
        <v>196.55008966970308</v>
      </c>
      <c r="O24">
        <f t="shared" si="12"/>
        <v>158.18886520988457</v>
      </c>
      <c r="P24">
        <f t="shared" si="13"/>
        <v>38.361224459818501</v>
      </c>
      <c r="Q24">
        <f t="shared" si="14"/>
        <v>196.55008966970308</v>
      </c>
      <c r="R24" s="4"/>
    </row>
    <row r="25" spans="2:18" x14ac:dyDescent="0.3">
      <c r="B25">
        <f t="shared" si="15"/>
        <v>0.10999999999999999</v>
      </c>
      <c r="C25">
        <f t="shared" si="3"/>
        <v>0.9999085841261478</v>
      </c>
      <c r="D25" s="6">
        <f t="shared" si="1"/>
        <v>0.57446808510638303</v>
      </c>
      <c r="E25" s="6">
        <f t="shared" si="9"/>
        <v>0.375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196.96</v>
      </c>
      <c r="L25">
        <f t="shared" si="10"/>
        <v>195.72071800000001</v>
      </c>
      <c r="M25">
        <f t="shared" si="8"/>
        <v>0.7909272099869753</v>
      </c>
      <c r="N25">
        <f t="shared" si="11"/>
        <v>196.70089985464708</v>
      </c>
      <c r="O25">
        <f t="shared" si="12"/>
        <v>155.78102327903466</v>
      </c>
      <c r="P25">
        <f t="shared" si="13"/>
        <v>40.919876575612427</v>
      </c>
      <c r="Q25">
        <f t="shared" si="14"/>
        <v>196.70089985464708</v>
      </c>
      <c r="R25" s="4"/>
    </row>
    <row r="26" spans="2:18" x14ac:dyDescent="0.3">
      <c r="B26">
        <f t="shared" si="15"/>
        <v>0.11999999999999998</v>
      </c>
      <c r="C26">
        <f t="shared" si="3"/>
        <v>0.99988834665937043</v>
      </c>
      <c r="D26" s="6">
        <f t="shared" si="1"/>
        <v>0.57446808510638303</v>
      </c>
      <c r="E26" s="6">
        <f t="shared" si="9"/>
        <v>0.375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197.19</v>
      </c>
      <c r="L26">
        <f t="shared" si="10"/>
        <v>195.708528</v>
      </c>
      <c r="M26">
        <f t="shared" si="8"/>
        <v>0.77867895583196156</v>
      </c>
      <c r="N26">
        <f t="shared" si="11"/>
        <v>196.86211907005429</v>
      </c>
      <c r="O26">
        <f t="shared" si="12"/>
        <v>153.54770330050451</v>
      </c>
      <c r="P26">
        <f t="shared" si="13"/>
        <v>43.31441576954979</v>
      </c>
      <c r="Q26">
        <f t="shared" si="14"/>
        <v>196.86211907005429</v>
      </c>
      <c r="R26" s="4"/>
    </row>
    <row r="27" spans="2:18" x14ac:dyDescent="0.3">
      <c r="B27">
        <f t="shared" si="15"/>
        <v>0.12999999999999998</v>
      </c>
      <c r="C27">
        <f t="shared" si="3"/>
        <v>0.99986362967292053</v>
      </c>
      <c r="D27" s="6">
        <f t="shared" si="1"/>
        <v>0.57446808510638303</v>
      </c>
      <c r="E27" s="6">
        <f t="shared" si="9"/>
        <v>0.375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197.44</v>
      </c>
      <c r="L27">
        <f t="shared" si="10"/>
        <v>195.69287800000001</v>
      </c>
      <c r="M27">
        <f t="shared" si="8"/>
        <v>0.76720220739620726</v>
      </c>
      <c r="N27">
        <f t="shared" si="11"/>
        <v>197.03327385499048</v>
      </c>
      <c r="O27">
        <f t="shared" si="12"/>
        <v>151.47640382830716</v>
      </c>
      <c r="P27">
        <f t="shared" si="13"/>
        <v>45.55687002668332</v>
      </c>
      <c r="Q27">
        <f t="shared" si="14"/>
        <v>197.03327385499048</v>
      </c>
      <c r="R27" s="4"/>
    </row>
    <row r="28" spans="2:18" x14ac:dyDescent="0.3">
      <c r="B28">
        <f t="shared" si="15"/>
        <v>0.13999999999999999</v>
      </c>
      <c r="C28">
        <f t="shared" si="3"/>
        <v>0.99983344193522261</v>
      </c>
      <c r="D28" s="6">
        <f t="shared" si="1"/>
        <v>0.57446808510638303</v>
      </c>
      <c r="E28" s="6">
        <f t="shared" si="9"/>
        <v>0.375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197.71</v>
      </c>
      <c r="L28">
        <f t="shared" si="10"/>
        <v>195.673168</v>
      </c>
      <c r="M28">
        <f t="shared" si="8"/>
        <v>0.75643991861804738</v>
      </c>
      <c r="N28">
        <f t="shared" si="11"/>
        <v>197.21390903231864</v>
      </c>
      <c r="O28">
        <f t="shared" si="12"/>
        <v>149.55573630997415</v>
      </c>
      <c r="P28">
        <f t="shared" si="13"/>
        <v>47.658172722344489</v>
      </c>
      <c r="Q28">
        <f t="shared" si="14"/>
        <v>197.21390903231864</v>
      </c>
      <c r="R28" s="4"/>
    </row>
    <row r="29" spans="2:18" x14ac:dyDescent="0.3">
      <c r="B29">
        <f t="shared" si="15"/>
        <v>0.15</v>
      </c>
      <c r="C29">
        <f t="shared" si="3"/>
        <v>0.9997965730219448</v>
      </c>
      <c r="D29" s="6">
        <f t="shared" si="1"/>
        <v>0.57446808510638303</v>
      </c>
      <c r="E29" s="6">
        <f t="shared" si="9"/>
        <v>0.375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198</v>
      </c>
      <c r="L29">
        <f t="shared" si="10"/>
        <v>195.64875000000001</v>
      </c>
      <c r="M29">
        <f t="shared" si="8"/>
        <v>0.74633992838556051</v>
      </c>
      <c r="N29">
        <f t="shared" si="11"/>
        <v>197.40358175661655</v>
      </c>
      <c r="O29">
        <f t="shared" si="12"/>
        <v>147.77530582034098</v>
      </c>
      <c r="P29">
        <f t="shared" si="13"/>
        <v>49.628275936275571</v>
      </c>
      <c r="Q29">
        <f t="shared" si="14"/>
        <v>197.40358175661655</v>
      </c>
      <c r="R29" s="4"/>
    </row>
    <row r="30" spans="2:18" x14ac:dyDescent="0.3">
      <c r="B30">
        <f t="shared" si="15"/>
        <v>0.16</v>
      </c>
      <c r="C30">
        <f t="shared" si="3"/>
        <v>0.99975154491816065</v>
      </c>
      <c r="D30" s="6">
        <f t="shared" si="1"/>
        <v>0.57446808510638303</v>
      </c>
      <c r="E30" s="6">
        <f t="shared" si="9"/>
        <v>0.375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198.31</v>
      </c>
      <c r="L30">
        <f t="shared" si="10"/>
        <v>195.61892800000001</v>
      </c>
      <c r="M30">
        <f t="shared" si="8"/>
        <v>0.73685444624423035</v>
      </c>
      <c r="N30">
        <f t="shared" si="11"/>
        <v>197.60185636836337</v>
      </c>
      <c r="O30">
        <f t="shared" si="12"/>
        <v>146.12560523469332</v>
      </c>
      <c r="P30">
        <f t="shared" si="13"/>
        <v>51.476251133670033</v>
      </c>
      <c r="Q30">
        <f t="shared" si="14"/>
        <v>197.60185636836337</v>
      </c>
      <c r="R30" s="4"/>
    </row>
    <row r="31" spans="2:18" x14ac:dyDescent="0.3">
      <c r="B31">
        <f t="shared" si="15"/>
        <v>0.17</v>
      </c>
      <c r="C31">
        <f t="shared" si="3"/>
        <v>0.99969655296997106</v>
      </c>
      <c r="D31" s="6">
        <f t="shared" si="1"/>
        <v>0.57446808510638303</v>
      </c>
      <c r="E31" s="6">
        <f t="shared" si="9"/>
        <v>0.375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198.64</v>
      </c>
      <c r="L31">
        <f t="shared" si="10"/>
        <v>195.58295799999999</v>
      </c>
      <c r="M31">
        <f t="shared" si="8"/>
        <v>0.72793959389403096</v>
      </c>
      <c r="N31">
        <f t="shared" si="11"/>
        <v>197.80829991199698</v>
      </c>
      <c r="O31">
        <f t="shared" si="12"/>
        <v>144.59792093111031</v>
      </c>
      <c r="P31">
        <f t="shared" si="13"/>
        <v>53.210378980886688</v>
      </c>
      <c r="Q31">
        <f t="shared" si="14"/>
        <v>197.80829991199698</v>
      </c>
      <c r="R31" s="4"/>
    </row>
    <row r="32" spans="2:18" x14ac:dyDescent="0.3">
      <c r="B32">
        <f t="shared" si="15"/>
        <v>0.18000000000000002</v>
      </c>
      <c r="C32">
        <f t="shared" si="3"/>
        <v>0.99962939385937355</v>
      </c>
      <c r="D32" s="6">
        <f t="shared" si="1"/>
        <v>0.57446808510638303</v>
      </c>
      <c r="E32" s="6">
        <f t="shared" si="9"/>
        <v>0.375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198.99</v>
      </c>
      <c r="L32">
        <f t="shared" si="10"/>
        <v>195.54004800000001</v>
      </c>
      <c r="M32">
        <f t="shared" si="8"/>
        <v>0.7195549944826809</v>
      </c>
      <c r="N32">
        <f t="shared" si="11"/>
        <v>198.02247819232554</v>
      </c>
      <c r="O32">
        <f t="shared" si="12"/>
        <v>143.18424835210868</v>
      </c>
      <c r="P32">
        <f t="shared" si="13"/>
        <v>54.838229840216847</v>
      </c>
      <c r="Q32">
        <f t="shared" si="14"/>
        <v>198.02247819232554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0.9995473777767595</v>
      </c>
      <c r="D33" s="6">
        <f t="shared" si="1"/>
        <v>0.57446808510638303</v>
      </c>
      <c r="E33" s="6">
        <f t="shared" si="9"/>
        <v>0.375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199.36</v>
      </c>
      <c r="L33">
        <f t="shared" si="10"/>
        <v>195.48935800000001</v>
      </c>
      <c r="M33">
        <f t="shared" si="8"/>
        <v>0.71166340264658867</v>
      </c>
      <c r="N33">
        <f t="shared" si="11"/>
        <v>198.2439522561468</v>
      </c>
      <c r="O33">
        <f t="shared" si="12"/>
        <v>141.87721595162392</v>
      </c>
      <c r="P33">
        <f t="shared" si="13"/>
        <v>56.366736304522881</v>
      </c>
      <c r="Q33">
        <f t="shared" si="14"/>
        <v>198.2439522561468</v>
      </c>
      <c r="R33" s="4"/>
    </row>
    <row r="34" spans="2:18" x14ac:dyDescent="0.3">
      <c r="B34">
        <f t="shared" si="15"/>
        <v>0.20000000000000004</v>
      </c>
      <c r="C34">
        <f t="shared" si="3"/>
        <v>0.9994472213630764</v>
      </c>
      <c r="D34" s="6">
        <f t="shared" si="1"/>
        <v>0.57446808510638303</v>
      </c>
      <c r="E34" s="6">
        <f t="shared" si="9"/>
        <v>0.375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199.75</v>
      </c>
      <c r="L34">
        <f t="shared" si="10"/>
        <v>195.43</v>
      </c>
      <c r="M34">
        <f t="shared" si="8"/>
        <v>0.70423036901521952</v>
      </c>
      <c r="N34">
        <f t="shared" si="11"/>
        <v>198.47227519414574</v>
      </c>
      <c r="O34">
        <f t="shared" si="12"/>
        <v>140.6700162107901</v>
      </c>
      <c r="P34">
        <f t="shared" si="13"/>
        <v>57.802258983355649</v>
      </c>
      <c r="Q34">
        <f t="shared" si="14"/>
        <v>198.47227519414574</v>
      </c>
      <c r="R34" s="4"/>
    </row>
    <row r="35" spans="2:18" x14ac:dyDescent="0.3">
      <c r="B35">
        <f t="shared" si="15"/>
        <v>0.21000000000000005</v>
      </c>
      <c r="C35">
        <f t="shared" si="3"/>
        <v>0.99932491726936712</v>
      </c>
      <c r="D35" s="6">
        <f t="shared" si="1"/>
        <v>0.57446808510638303</v>
      </c>
      <c r="E35" s="6">
        <f t="shared" si="9"/>
        <v>0.375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200.16</v>
      </c>
      <c r="L35">
        <f t="shared" si="10"/>
        <v>195.36103800000001</v>
      </c>
      <c r="M35">
        <f t="shared" si="8"/>
        <v>0.69722393350038969</v>
      </c>
      <c r="N35">
        <f t="shared" si="11"/>
        <v>198.70698916235892</v>
      </c>
      <c r="O35">
        <f t="shared" si="12"/>
        <v>139.55634252943801</v>
      </c>
      <c r="P35">
        <f t="shared" si="13"/>
        <v>59.150646632920896</v>
      </c>
      <c r="Q35">
        <f t="shared" si="14"/>
        <v>198.70698916235892</v>
      </c>
      <c r="R35" s="4"/>
    </row>
    <row r="36" spans="2:18" x14ac:dyDescent="0.3">
      <c r="B36">
        <f t="shared" si="15"/>
        <v>0.22000000000000006</v>
      </c>
      <c r="C36">
        <f t="shared" si="3"/>
        <v>0.99917557531360168</v>
      </c>
      <c r="D36" s="6">
        <f t="shared" si="1"/>
        <v>0.57446808510638303</v>
      </c>
      <c r="E36" s="6">
        <f t="shared" si="9"/>
        <v>0.375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200.59</v>
      </c>
      <c r="L36">
        <f t="shared" si="10"/>
        <v>195.281488</v>
      </c>
      <c r="M36">
        <f t="shared" si="8"/>
        <v>0.69061434215659634</v>
      </c>
      <c r="N36">
        <f t="shared" si="11"/>
        <v>198.94762252271039</v>
      </c>
      <c r="O36">
        <f t="shared" si="12"/>
        <v>138.53033089319166</v>
      </c>
      <c r="P36">
        <f t="shared" si="13"/>
        <v>60.417291629518736</v>
      </c>
      <c r="Q36">
        <f t="shared" si="14"/>
        <v>198.94762252271039</v>
      </c>
      <c r="R36" s="4"/>
    </row>
    <row r="37" spans="2:18" x14ac:dyDescent="0.3">
      <c r="B37">
        <f t="shared" si="15"/>
        <v>0.23000000000000007</v>
      </c>
      <c r="C37">
        <f t="shared" si="3"/>
        <v>0.9989932291799144</v>
      </c>
      <c r="D37" s="6">
        <f t="shared" si="1"/>
        <v>0.57446808510638303</v>
      </c>
      <c r="E37" s="6">
        <f t="shared" si="9"/>
        <v>0.375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201.04</v>
      </c>
      <c r="L37">
        <f t="shared" si="10"/>
        <v>195.19031799999999</v>
      </c>
      <c r="M37">
        <f t="shared" si="8"/>
        <v>0.68437378273520411</v>
      </c>
      <c r="N37">
        <f t="shared" si="11"/>
        <v>199.19368699813805</v>
      </c>
      <c r="O37">
        <f t="shared" si="12"/>
        <v>137.58650528108544</v>
      </c>
      <c r="P37">
        <f t="shared" si="13"/>
        <v>61.607181717052597</v>
      </c>
      <c r="Q37">
        <f t="shared" si="14"/>
        <v>199.19368699813805</v>
      </c>
      <c r="R37" s="4"/>
    </row>
    <row r="38" spans="2:18" x14ac:dyDescent="0.3">
      <c r="B38">
        <f t="shared" si="15"/>
        <v>0.24000000000000007</v>
      </c>
      <c r="C38">
        <f t="shared" si="3"/>
        <v>0.99877060137872253</v>
      </c>
      <c r="D38" s="6">
        <f t="shared" si="1"/>
        <v>0.57446808510638303</v>
      </c>
      <c r="E38" s="6">
        <f t="shared" si="9"/>
        <v>0.375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201.51</v>
      </c>
      <c r="L38">
        <f t="shared" si="10"/>
        <v>195.08644799999999</v>
      </c>
      <c r="M38">
        <f t="shared" si="8"/>
        <v>0.67847613427435205</v>
      </c>
      <c r="N38">
        <f t="shared" si="11"/>
        <v>199.44467472927028</v>
      </c>
      <c r="O38">
        <f t="shared" si="12"/>
        <v>136.71972581762466</v>
      </c>
      <c r="P38">
        <f t="shared" si="13"/>
        <v>62.724948911645598</v>
      </c>
      <c r="Q38">
        <f t="shared" si="14"/>
        <v>199.44467472927028</v>
      </c>
      <c r="R38" s="4"/>
    </row>
    <row r="39" spans="2:18" x14ac:dyDescent="0.3">
      <c r="B39">
        <f t="shared" si="15"/>
        <v>0.25000000000000006</v>
      </c>
      <c r="C39">
        <f t="shared" si="3"/>
        <v>0.99849881774326299</v>
      </c>
      <c r="D39" s="6">
        <f t="shared" si="1"/>
        <v>0.57446808510638303</v>
      </c>
      <c r="E39" s="6">
        <f t="shared" si="9"/>
        <v>0.375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202</v>
      </c>
      <c r="L39">
        <f t="shared" si="10"/>
        <v>194.96875</v>
      </c>
      <c r="M39">
        <f t="shared" si="8"/>
        <v>0.67289672617583673</v>
      </c>
      <c r="N39">
        <f t="shared" si="11"/>
        <v>199.70005510592387</v>
      </c>
      <c r="O39">
        <f t="shared" si="12"/>
        <v>135.92513868751902</v>
      </c>
      <c r="P39">
        <f t="shared" si="13"/>
        <v>63.774916418404828</v>
      </c>
      <c r="Q39">
        <f t="shared" si="14"/>
        <v>199.70005510592387</v>
      </c>
      <c r="R39" s="4"/>
    </row>
    <row r="40" spans="2:18" x14ac:dyDescent="0.3">
      <c r="B40">
        <f t="shared" si="15"/>
        <v>0.26000000000000006</v>
      </c>
      <c r="C40">
        <f t="shared" si="3"/>
        <v>0.99816706105750719</v>
      </c>
      <c r="D40" s="6">
        <f t="shared" si="1"/>
        <v>0.57446808510638303</v>
      </c>
      <c r="E40" s="6">
        <f t="shared" si="9"/>
        <v>0.375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202.51</v>
      </c>
      <c r="L40">
        <f t="shared" si="10"/>
        <v>194.83604800000001</v>
      </c>
      <c r="M40">
        <f t="shared" si="8"/>
        <v>0.66761210222700285</v>
      </c>
      <c r="N40">
        <f t="shared" si="11"/>
        <v>199.95927122710913</v>
      </c>
      <c r="O40">
        <f t="shared" si="12"/>
        <v>135.19812682199034</v>
      </c>
      <c r="P40">
        <f t="shared" si="13"/>
        <v>64.76114440511877</v>
      </c>
      <c r="Q40">
        <f t="shared" si="14"/>
        <v>199.95927122710913</v>
      </c>
      <c r="R40" s="4"/>
    </row>
    <row r="41" spans="2:18" x14ac:dyDescent="0.3">
      <c r="B41">
        <f t="shared" si="15"/>
        <v>0.27000000000000007</v>
      </c>
      <c r="C41">
        <f t="shared" si="3"/>
        <v>0.99776215147872371</v>
      </c>
      <c r="D41" s="6">
        <f t="shared" si="1"/>
        <v>0.57446808510638303</v>
      </c>
      <c r="E41" s="6">
        <f t="shared" si="9"/>
        <v>0.375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203.04</v>
      </c>
      <c r="L41">
        <f t="shared" si="10"/>
        <v>194.687118</v>
      </c>
      <c r="M41">
        <f t="shared" si="8"/>
        <v>0.66259978493714944</v>
      </c>
      <c r="N41">
        <f t="shared" si="11"/>
        <v>200.22173581680539</v>
      </c>
      <c r="O41">
        <f t="shared" si="12"/>
        <v>134.53426033363883</v>
      </c>
      <c r="P41">
        <f t="shared" si="13"/>
        <v>65.687475483166565</v>
      </c>
      <c r="Q41">
        <f t="shared" si="14"/>
        <v>200.22173581680539</v>
      </c>
      <c r="R41" s="4"/>
    </row>
    <row r="42" spans="2:18" x14ac:dyDescent="0.3">
      <c r="B42">
        <f t="shared" si="15"/>
        <v>0.28000000000000008</v>
      </c>
      <c r="C42">
        <f t="shared" si="3"/>
        <v>0.99726803923698892</v>
      </c>
      <c r="D42" s="6">
        <f t="shared" si="1"/>
        <v>0.57446808510638303</v>
      </c>
      <c r="E42" s="6">
        <f t="shared" si="9"/>
        <v>0.375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203.59</v>
      </c>
      <c r="L42">
        <f t="shared" si="10"/>
        <v>194.52068800000001</v>
      </c>
      <c r="M42">
        <f t="shared" si="8"/>
        <v>0.65783803538390195</v>
      </c>
      <c r="N42">
        <f t="shared" si="11"/>
        <v>200.48682638836368</v>
      </c>
      <c r="O42">
        <f t="shared" si="12"/>
        <v>133.92924562380861</v>
      </c>
      <c r="P42">
        <f t="shared" si="13"/>
        <v>66.557580764555055</v>
      </c>
      <c r="Q42">
        <f t="shared" si="14"/>
        <v>200.48682638836368</v>
      </c>
      <c r="R42" s="4"/>
    </row>
    <row r="43" spans="2:18" x14ac:dyDescent="0.3">
      <c r="B43">
        <f t="shared" si="15"/>
        <v>0.29000000000000009</v>
      </c>
      <c r="C43">
        <f t="shared" si="3"/>
        <v>0.99666519269258669</v>
      </c>
      <c r="D43" s="6">
        <f t="shared" si="1"/>
        <v>0.57446808510638303</v>
      </c>
      <c r="E43" s="6">
        <f t="shared" si="9"/>
        <v>0.375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204.16</v>
      </c>
      <c r="L43">
        <f t="shared" si="10"/>
        <v>194.33543800000001</v>
      </c>
      <c r="M43">
        <f t="shared" si="8"/>
        <v>0.65330560352030209</v>
      </c>
      <c r="N43">
        <f t="shared" si="11"/>
        <v>200.75387940673264</v>
      </c>
      <c r="O43">
        <f t="shared" si="12"/>
        <v>133.37887201470488</v>
      </c>
      <c r="P43">
        <f t="shared" si="13"/>
        <v>67.375007392027754</v>
      </c>
      <c r="Q43">
        <f t="shared" si="14"/>
        <v>200.75387940673264</v>
      </c>
      <c r="R43" s="4"/>
    </row>
    <row r="44" spans="2:18" x14ac:dyDescent="0.3">
      <c r="B44">
        <f t="shared" si="15"/>
        <v>0.3000000000000001</v>
      </c>
      <c r="C44">
        <f t="shared" si="3"/>
        <v>0.99592986228410385</v>
      </c>
      <c r="D44" s="6">
        <f t="shared" si="1"/>
        <v>0.57446808510638303</v>
      </c>
      <c r="E44" s="6">
        <f t="shared" si="9"/>
        <v>0.375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204.75</v>
      </c>
      <c r="L44">
        <f t="shared" si="10"/>
        <v>194.13</v>
      </c>
      <c r="M44">
        <f t="shared" si="8"/>
        <v>0.64898146360225062</v>
      </c>
      <c r="N44">
        <f t="shared" si="11"/>
        <v>201.02218314345589</v>
      </c>
      <c r="O44">
        <f t="shared" si="12"/>
        <v>132.87895467256081</v>
      </c>
      <c r="P44">
        <f t="shared" si="13"/>
        <v>68.143228470895082</v>
      </c>
      <c r="Q44">
        <f t="shared" si="14"/>
        <v>201.02218314345589</v>
      </c>
      <c r="R44" s="4"/>
    </row>
    <row r="45" spans="2:18" x14ac:dyDescent="0.3">
      <c r="B45">
        <f t="shared" si="15"/>
        <v>0.31000000000000011</v>
      </c>
      <c r="C45">
        <f t="shared" si="3"/>
        <v>0.99503319834994297</v>
      </c>
      <c r="D45" s="6">
        <f t="shared" si="1"/>
        <v>0.57446808510638303</v>
      </c>
      <c r="E45" s="6">
        <f t="shared" si="9"/>
        <v>0.375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205.36</v>
      </c>
      <c r="L45">
        <f t="shared" si="10"/>
        <v>193.90295799999998</v>
      </c>
      <c r="M45">
        <f t="shared" si="8"/>
        <v>0.64484452909778256</v>
      </c>
      <c r="N45">
        <f t="shared" si="11"/>
        <v>201.29096885334351</v>
      </c>
      <c r="O45">
        <f t="shared" si="12"/>
        <v>132.42527249552063</v>
      </c>
      <c r="P45">
        <f t="shared" si="13"/>
        <v>68.865696357822884</v>
      </c>
      <c r="Q45">
        <f t="shared" si="14"/>
        <v>201.29096885334351</v>
      </c>
      <c r="R45" s="7"/>
    </row>
    <row r="46" spans="2:18" x14ac:dyDescent="0.3">
      <c r="B46">
        <f t="shared" si="15"/>
        <v>0.32000000000000012</v>
      </c>
      <c r="C46">
        <f t="shared" si="3"/>
        <v>0.99394019850841586</v>
      </c>
      <c r="D46" s="6">
        <f t="shared" si="1"/>
        <v>0.57446808510638303</v>
      </c>
      <c r="E46" s="6">
        <f t="shared" si="9"/>
        <v>0.375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205.99</v>
      </c>
      <c r="L46">
        <f t="shared" si="10"/>
        <v>193.65284800000001</v>
      </c>
      <c r="M46">
        <f t="shared" si="8"/>
        <v>0.64087334119744555</v>
      </c>
      <c r="N46">
        <f t="shared" si="11"/>
        <v>201.55939982310076</v>
      </c>
      <c r="O46">
        <f t="shared" si="12"/>
        <v>132.01349955326182</v>
      </c>
      <c r="P46">
        <f t="shared" si="13"/>
        <v>69.545900269838938</v>
      </c>
      <c r="Q46">
        <f t="shared" si="14"/>
        <v>201.55939982310076</v>
      </c>
      <c r="R46" s="4"/>
    </row>
    <row r="47" spans="2:18" x14ac:dyDescent="0.3">
      <c r="B47">
        <f t="shared" si="15"/>
        <v>0.33000000000000013</v>
      </c>
      <c r="C47">
        <f t="shared" si="3"/>
        <v>0.99260845865571801</v>
      </c>
      <c r="D47" s="6">
        <f t="shared" si="1"/>
        <v>0.57446808510638303</v>
      </c>
      <c r="E47" s="6">
        <f t="shared" si="9"/>
        <v>0.375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206.64000000000001</v>
      </c>
      <c r="L47">
        <f t="shared" si="10"/>
        <v>193.37815799999998</v>
      </c>
      <c r="M47">
        <f t="shared" si="8"/>
        <v>0.63704572495714684</v>
      </c>
      <c r="N47">
        <f t="shared" si="11"/>
        <v>201.82655775115714</v>
      </c>
      <c r="O47">
        <f t="shared" si="12"/>
        <v>131.63912860514483</v>
      </c>
      <c r="P47">
        <f t="shared" si="13"/>
        <v>70.187429146012306</v>
      </c>
      <c r="Q47">
        <f t="shared" si="14"/>
        <v>201.82655775115714</v>
      </c>
      <c r="R47" s="4"/>
    </row>
    <row r="48" spans="2:18" x14ac:dyDescent="0.3">
      <c r="B48">
        <f t="shared" si="15"/>
        <v>0.34000000000000014</v>
      </c>
      <c r="C48">
        <f t="shared" si="3"/>
        <v>0.99098670134715217</v>
      </c>
      <c r="D48" s="6">
        <f t="shared" si="1"/>
        <v>0.57446808510638303</v>
      </c>
      <c r="E48" s="6">
        <f t="shared" si="9"/>
        <v>0.375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207.31</v>
      </c>
      <c r="L48">
        <f t="shared" si="10"/>
        <v>193.07732799999999</v>
      </c>
      <c r="M48">
        <f t="shared" si="8"/>
        <v>0.63333840732115154</v>
      </c>
      <c r="N48">
        <f t="shared" si="11"/>
        <v>202.09142581640435</v>
      </c>
      <c r="O48">
        <f t="shared" si="12"/>
        <v>131.29738522174793</v>
      </c>
      <c r="P48">
        <f t="shared" si="13"/>
        <v>70.794040594656423</v>
      </c>
      <c r="Q48">
        <f t="shared" si="14"/>
        <v>202.09142581640435</v>
      </c>
      <c r="R48" s="4"/>
    </row>
    <row r="49" spans="2:18" x14ac:dyDescent="0.3">
      <c r="B49">
        <f t="shared" si="15"/>
        <v>0.35000000000000014</v>
      </c>
      <c r="C49">
        <f t="shared" si="3"/>
        <v>0.98901305736940681</v>
      </c>
      <c r="D49" s="6">
        <f t="shared" si="1"/>
        <v>0.57446808510638303</v>
      </c>
      <c r="E49" s="6">
        <f t="shared" si="9"/>
        <v>0.375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208</v>
      </c>
      <c r="L49">
        <f t="shared" si="10"/>
        <v>192.74875</v>
      </c>
      <c r="M49">
        <f t="shared" si="8"/>
        <v>0.62972659201636205</v>
      </c>
      <c r="N49">
        <f t="shared" si="11"/>
        <v>202.35286768648953</v>
      </c>
      <c r="O49">
        <f t="shared" si="12"/>
        <v>130.9831311394033</v>
      </c>
      <c r="P49">
        <f t="shared" si="13"/>
        <v>71.369736547086234</v>
      </c>
      <c r="Q49">
        <f t="shared" si="14"/>
        <v>202.35286768648953</v>
      </c>
      <c r="R49" s="4"/>
    </row>
    <row r="50" spans="2:18" x14ac:dyDescent="0.3">
      <c r="B50">
        <f t="shared" si="15"/>
        <v>0.36000000000000015</v>
      </c>
      <c r="C50">
        <f t="shared" si="3"/>
        <v>0.98661308217233512</v>
      </c>
      <c r="D50" s="6">
        <f t="shared" si="1"/>
        <v>0.57446808510638303</v>
      </c>
      <c r="E50" s="6">
        <f t="shared" si="9"/>
        <v>0.375</v>
      </c>
      <c r="F50" s="8">
        <f t="shared" si="4"/>
        <v>6.4800000000000052E-2</v>
      </c>
      <c r="G50" s="8">
        <f t="shared" si="5"/>
        <v>-1.6796160000000025E-2</v>
      </c>
      <c r="H50">
        <f t="shared" si="16"/>
        <v>12.96000000000001</v>
      </c>
      <c r="I50">
        <f t="shared" si="16"/>
        <v>-3.3592320000000049</v>
      </c>
      <c r="J50">
        <f t="shared" si="6"/>
        <v>9.6007680000000057</v>
      </c>
      <c r="K50">
        <f t="shared" si="7"/>
        <v>208.71</v>
      </c>
      <c r="L50">
        <f t="shared" si="10"/>
        <v>192.39076800000001</v>
      </c>
      <c r="M50">
        <f t="shared" si="8"/>
        <v>0.62618348790282663</v>
      </c>
      <c r="N50">
        <f t="shared" si="11"/>
        <v>202.60960161365543</v>
      </c>
      <c r="O50">
        <f t="shared" si="12"/>
        <v>130.69075576019895</v>
      </c>
      <c r="P50">
        <f t="shared" si="13"/>
        <v>71.918845853456475</v>
      </c>
      <c r="Q50">
        <f t="shared" si="14"/>
        <v>202.60960161365543</v>
      </c>
      <c r="R50" s="4"/>
    </row>
    <row r="51" spans="2:18" x14ac:dyDescent="0.3">
      <c r="B51">
        <f t="shared" si="15"/>
        <v>0.37000000000000016</v>
      </c>
      <c r="C51">
        <f t="shared" si="3"/>
        <v>0.98369750062855899</v>
      </c>
      <c r="D51" s="6">
        <f t="shared" si="1"/>
        <v>0.57446808510638303</v>
      </c>
      <c r="E51" s="6">
        <f t="shared" si="9"/>
        <v>0.375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209.44000000000003</v>
      </c>
      <c r="L51">
        <f t="shared" si="10"/>
        <v>192.001678</v>
      </c>
      <c r="M51">
        <f t="shared" si="8"/>
        <v>0.62267979026550524</v>
      </c>
      <c r="N51">
        <f t="shared" si="11"/>
        <v>202.86016868554236</v>
      </c>
      <c r="O51">
        <f t="shared" si="12"/>
        <v>130.41405527320742</v>
      </c>
      <c r="P51">
        <f t="shared" si="13"/>
        <v>72.446113412334924</v>
      </c>
      <c r="Q51">
        <f t="shared" si="14"/>
        <v>202.86016868554236</v>
      </c>
      <c r="R51" s="7"/>
    </row>
    <row r="52" spans="2:18" x14ac:dyDescent="0.3">
      <c r="B52">
        <f t="shared" si="15"/>
        <v>0.38000000000000017</v>
      </c>
      <c r="C52">
        <f t="shared" si="3"/>
        <v>0.98015969426592242</v>
      </c>
      <c r="D52" s="6">
        <f t="shared" si="1"/>
        <v>0.57446808510638303</v>
      </c>
      <c r="E52" s="6">
        <f t="shared" si="9"/>
        <v>0.375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210.19000000000003</v>
      </c>
      <c r="L52">
        <f t="shared" si="10"/>
        <v>191.57972799999999</v>
      </c>
      <c r="M52">
        <f t="shared" si="8"/>
        <v>0.61918311936145809</v>
      </c>
      <c r="N52">
        <f t="shared" si="11"/>
        <v>203.10289426912522</v>
      </c>
      <c r="O52">
        <f t="shared" si="12"/>
        <v>130.1460998585849</v>
      </c>
      <c r="P52">
        <f t="shared" si="13"/>
        <v>72.956794410540326</v>
      </c>
      <c r="Q52">
        <f t="shared" si="14"/>
        <v>203.10289426912522</v>
      </c>
      <c r="R52" s="4"/>
    </row>
    <row r="53" spans="2:18" x14ac:dyDescent="0.3">
      <c r="B53">
        <f t="shared" si="15"/>
        <v>0.39000000000000018</v>
      </c>
      <c r="C53">
        <f t="shared" si="3"/>
        <v>0.97587297858233069</v>
      </c>
      <c r="D53" s="6">
        <f t="shared" si="1"/>
        <v>0.57446808510638303</v>
      </c>
      <c r="E53" s="6">
        <f t="shared" si="9"/>
        <v>0.375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210.96</v>
      </c>
      <c r="L53">
        <f t="shared" si="10"/>
        <v>191.12311799999998</v>
      </c>
      <c r="M53">
        <f t="shared" si="8"/>
        <v>0.61565742811209412</v>
      </c>
      <c r="N53">
        <f t="shared" si="11"/>
        <v>203.3358417538831</v>
      </c>
      <c r="O53">
        <f t="shared" si="12"/>
        <v>129.87909103452739</v>
      </c>
      <c r="P53">
        <f t="shared" si="13"/>
        <v>73.456750719355711</v>
      </c>
      <c r="Q53">
        <f t="shared" si="14"/>
        <v>203.3358417538831</v>
      </c>
      <c r="R53" s="4"/>
    </row>
    <row r="54" spans="2:18" x14ac:dyDescent="0.3">
      <c r="B54">
        <f t="shared" si="15"/>
        <v>0.40000000000000019</v>
      </c>
      <c r="C54">
        <f t="shared" si="3"/>
        <v>0.97068776924864353</v>
      </c>
      <c r="D54" s="6">
        <f t="shared" si="1"/>
        <v>0.57446808510638303</v>
      </c>
      <c r="E54" s="6">
        <f t="shared" si="9"/>
        <v>0.375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211.75</v>
      </c>
      <c r="L54">
        <f t="shared" si="10"/>
        <v>190.63</v>
      </c>
      <c r="M54">
        <f t="shared" si="8"/>
        <v>0.6120624021675547</v>
      </c>
      <c r="N54">
        <f t="shared" si="11"/>
        <v>203.55675793377878</v>
      </c>
      <c r="O54">
        <f t="shared" si="12"/>
        <v>129.60421365897972</v>
      </c>
      <c r="P54">
        <f t="shared" si="13"/>
        <v>73.952544274799052</v>
      </c>
      <c r="Q54">
        <f t="shared" si="14"/>
        <v>203.55675793377878</v>
      </c>
      <c r="R54" s="4"/>
    </row>
    <row r="55" spans="2:18" x14ac:dyDescent="0.3">
      <c r="B55">
        <f t="shared" si="15"/>
        <v>0.4100000000000002</v>
      </c>
      <c r="C55">
        <f t="shared" si="3"/>
        <v>0.96442881072736364</v>
      </c>
      <c r="D55" s="6">
        <f t="shared" si="1"/>
        <v>0.57446808510638303</v>
      </c>
      <c r="E55" s="6">
        <f t="shared" si="9"/>
        <v>0.375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212.56</v>
      </c>
      <c r="L55">
        <f t="shared" si="10"/>
        <v>190.098478</v>
      </c>
      <c r="M55">
        <f t="shared" si="8"/>
        <v>0.60835289183229724</v>
      </c>
      <c r="N55">
        <f t="shared" si="11"/>
        <v>203.76300986365476</v>
      </c>
      <c r="O55">
        <f t="shared" si="12"/>
        <v>129.31149068787309</v>
      </c>
      <c r="P55">
        <f t="shared" si="13"/>
        <v>74.451519175781669</v>
      </c>
      <c r="Q55">
        <f t="shared" si="14"/>
        <v>203.76300986365476</v>
      </c>
      <c r="R55" s="7"/>
    </row>
    <row r="56" spans="2:18" x14ac:dyDescent="0.3">
      <c r="B56">
        <f t="shared" si="15"/>
        <v>0.42000000000000021</v>
      </c>
      <c r="C56">
        <f t="shared" si="3"/>
        <v>0.95689274505891364</v>
      </c>
      <c r="D56" s="6">
        <f t="shared" si="1"/>
        <v>0.57446808510638303</v>
      </c>
      <c r="E56" s="6">
        <f t="shared" si="9"/>
        <v>0.375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213.39000000000001</v>
      </c>
      <c r="L56">
        <f t="shared" si="10"/>
        <v>189.52660799999998</v>
      </c>
      <c r="M56">
        <f t="shared" si="8"/>
        <v>0.60447843767815435</v>
      </c>
      <c r="N56">
        <f t="shared" si="11"/>
        <v>203.95151391386136</v>
      </c>
      <c r="O56">
        <f t="shared" si="12"/>
        <v>128.98965381614136</v>
      </c>
      <c r="P56">
        <f t="shared" si="13"/>
        <v>74.961860097720006</v>
      </c>
      <c r="Q56">
        <f t="shared" si="14"/>
        <v>203.95151391386136</v>
      </c>
      <c r="R56" s="7"/>
    </row>
    <row r="57" spans="2:18" x14ac:dyDescent="0.3">
      <c r="B57">
        <f t="shared" si="15"/>
        <v>0.43000000000000022</v>
      </c>
      <c r="C57">
        <f t="shared" si="3"/>
        <v>0.94784643692158199</v>
      </c>
      <c r="D57" s="6">
        <f t="shared" si="1"/>
        <v>0.57446808510638303</v>
      </c>
      <c r="E57" s="6">
        <f t="shared" si="9"/>
        <v>0.375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214.24</v>
      </c>
      <c r="L57">
        <f t="shared" si="10"/>
        <v>188.912398</v>
      </c>
      <c r="M57">
        <f t="shared" si="8"/>
        <v>0.60038298087774056</v>
      </c>
      <c r="N57">
        <f t="shared" si="11"/>
        <v>204.11865918724504</v>
      </c>
      <c r="O57">
        <f t="shared" si="12"/>
        <v>128.62604982324714</v>
      </c>
      <c r="P57">
        <f t="shared" si="13"/>
        <v>75.492609363997886</v>
      </c>
      <c r="Q57">
        <f t="shared" si="14"/>
        <v>204.11865918724504</v>
      </c>
      <c r="R57" s="7"/>
    </row>
    <row r="58" spans="2:18" x14ac:dyDescent="0.3">
      <c r="B58">
        <f t="shared" si="15"/>
        <v>0.44000000000000022</v>
      </c>
      <c r="C58">
        <f t="shared" si="3"/>
        <v>0.93702664394300317</v>
      </c>
      <c r="D58" s="6">
        <f t="shared" si="1"/>
        <v>0.57446808510638303</v>
      </c>
      <c r="E58" s="6">
        <f t="shared" si="9"/>
        <v>0.375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215.11</v>
      </c>
      <c r="L58">
        <f t="shared" si="10"/>
        <v>188.25380799999999</v>
      </c>
      <c r="M58">
        <f t="shared" si="8"/>
        <v>0.59600488517189221</v>
      </c>
      <c r="N58">
        <f t="shared" si="11"/>
        <v>204.26022962911429</v>
      </c>
      <c r="O58">
        <f t="shared" si="12"/>
        <v>128.20661084932573</v>
      </c>
      <c r="P58">
        <f t="shared" si="13"/>
        <v>76.05361877978855</v>
      </c>
      <c r="Q58">
        <f t="shared" si="14"/>
        <v>204.26022962911429</v>
      </c>
      <c r="R58" s="4"/>
    </row>
    <row r="59" spans="2:18" x14ac:dyDescent="0.3">
      <c r="B59">
        <f t="shared" si="15"/>
        <v>0.45000000000000023</v>
      </c>
      <c r="C59">
        <f t="shared" si="3"/>
        <v>0.92414181997875611</v>
      </c>
      <c r="D59" s="6">
        <f t="shared" si="1"/>
        <v>0.57446808510638303</v>
      </c>
      <c r="E59" s="6">
        <f t="shared" si="9"/>
        <v>0.375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216.00000000000003</v>
      </c>
      <c r="L59">
        <f t="shared" si="10"/>
        <v>187.54874999999998</v>
      </c>
      <c r="M59">
        <f t="shared" si="8"/>
        <v>0.59127743773004315</v>
      </c>
      <c r="N59">
        <f t="shared" si="11"/>
        <v>204.3713322002169</v>
      </c>
      <c r="O59">
        <f t="shared" si="12"/>
        <v>127.71592654968934</v>
      </c>
      <c r="P59">
        <f t="shared" si="13"/>
        <v>76.65540565052757</v>
      </c>
      <c r="Q59">
        <f t="shared" si="14"/>
        <v>204.3713322002169</v>
      </c>
      <c r="R59" s="16"/>
    </row>
    <row r="60" spans="2:18" x14ac:dyDescent="0.3">
      <c r="B60">
        <f t="shared" si="15"/>
        <v>0.46000000000000024</v>
      </c>
      <c r="C60">
        <f t="shared" si="3"/>
        <v>0.90887703898514338</v>
      </c>
      <c r="D60" s="6">
        <f t="shared" si="1"/>
        <v>0.57446808510638303</v>
      </c>
      <c r="E60" s="6">
        <f t="shared" si="9"/>
        <v>0.375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216.91000000000003</v>
      </c>
      <c r="L60">
        <f t="shared" si="10"/>
        <v>186.79508799999999</v>
      </c>
      <c r="M60">
        <f t="shared" si="8"/>
        <v>0.5861300352850155</v>
      </c>
      <c r="N60">
        <f t="shared" si="11"/>
        <v>204.44634243316517</v>
      </c>
      <c r="O60">
        <f t="shared" si="12"/>
        <v>127.13746595367273</v>
      </c>
      <c r="P60">
        <f t="shared" si="13"/>
        <v>77.308876479492426</v>
      </c>
      <c r="Q60">
        <f t="shared" si="14"/>
        <v>204.44634243316517</v>
      </c>
      <c r="R60" s="7"/>
    </row>
    <row r="61" spans="2:18" x14ac:dyDescent="0.3">
      <c r="B61" s="13">
        <f t="shared" si="15"/>
        <v>0.47000000000000025</v>
      </c>
      <c r="C61" s="13">
        <f t="shared" si="3"/>
        <v>0.89090317880438652</v>
      </c>
      <c r="D61" s="14">
        <f t="shared" si="1"/>
        <v>0.57446808510638303</v>
      </c>
      <c r="E61" s="14">
        <f t="shared" si="9"/>
        <v>0.375</v>
      </c>
      <c r="F61" s="15">
        <f t="shared" si="4"/>
        <v>0.11045000000000012</v>
      </c>
      <c r="G61" s="15">
        <f t="shared" si="5"/>
        <v>-4.8796810000000107E-2</v>
      </c>
      <c r="H61" s="13">
        <f t="shared" si="16"/>
        <v>22.090000000000025</v>
      </c>
      <c r="I61" s="13">
        <f t="shared" si="16"/>
        <v>-9.7593620000000207</v>
      </c>
      <c r="J61" s="13">
        <f t="shared" si="6"/>
        <v>12.330638000000004</v>
      </c>
      <c r="K61" s="13">
        <f t="shared" si="7"/>
        <v>217.84000000000003</v>
      </c>
      <c r="L61" s="13">
        <f t="shared" si="10"/>
        <v>185.99063799999999</v>
      </c>
      <c r="M61" s="13">
        <f t="shared" si="8"/>
        <v>0.58049028890582077</v>
      </c>
      <c r="N61" s="13">
        <f t="shared" si="11"/>
        <v>204.47888334884607</v>
      </c>
      <c r="O61" s="13">
        <f t="shared" si="12"/>
        <v>126.45400453524401</v>
      </c>
      <c r="P61" s="13">
        <f t="shared" si="13"/>
        <v>78.024878813602072</v>
      </c>
      <c r="Q61" s="13">
        <f t="shared" si="14"/>
        <v>204.47888334884607</v>
      </c>
      <c r="R61" s="7"/>
    </row>
    <row r="62" spans="2:18" x14ac:dyDescent="0.3">
      <c r="B62">
        <f t="shared" si="15"/>
        <v>0.48000000000000026</v>
      </c>
      <c r="C62">
        <f t="shared" si="3"/>
        <v>0.86989152563700145</v>
      </c>
      <c r="D62" s="6">
        <f t="shared" si="1"/>
        <v>0.57446808510638303</v>
      </c>
      <c r="E62" s="6">
        <f t="shared" si="9"/>
        <v>0.375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218.79000000000002</v>
      </c>
      <c r="L62">
        <f t="shared" si="10"/>
        <v>185.13316799999998</v>
      </c>
      <c r="M62">
        <f t="shared" si="8"/>
        <v>0.57428727796783263</v>
      </c>
      <c r="N62">
        <f t="shared" si="11"/>
        <v>204.46185843430067</v>
      </c>
      <c r="O62">
        <f t="shared" si="12"/>
        <v>125.64831354658212</v>
      </c>
      <c r="P62">
        <f t="shared" si="13"/>
        <v>78.813544887718535</v>
      </c>
      <c r="Q62">
        <f t="shared" si="14"/>
        <v>204.46185843430067</v>
      </c>
      <c r="R62" s="7"/>
    </row>
    <row r="63" spans="2:18" x14ac:dyDescent="0.3">
      <c r="B63">
        <f t="shared" si="15"/>
        <v>0.49000000000000027</v>
      </c>
      <c r="C63">
        <f t="shared" si="3"/>
        <v>0.84553473491646447</v>
      </c>
      <c r="D63" s="6">
        <f t="shared" si="1"/>
        <v>0.57446808510638303</v>
      </c>
      <c r="E63" s="6">
        <f t="shared" si="9"/>
        <v>0.375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219.76000000000002</v>
      </c>
      <c r="L63">
        <f t="shared" si="10"/>
        <v>184.22039799999999</v>
      </c>
      <c r="M63">
        <f t="shared" si="8"/>
        <v>0.56745612687788183</v>
      </c>
      <c r="N63">
        <f t="shared" si="11"/>
        <v>204.38756290170141</v>
      </c>
      <c r="O63">
        <f t="shared" si="12"/>
        <v>124.70415844268332</v>
      </c>
      <c r="P63">
        <f t="shared" si="13"/>
        <v>79.683404459018107</v>
      </c>
      <c r="Q63">
        <f t="shared" si="14"/>
        <v>204.38756290170141</v>
      </c>
      <c r="R63" s="7"/>
    </row>
    <row r="64" spans="2:18" x14ac:dyDescent="0.3">
      <c r="B64">
        <f t="shared" si="15"/>
        <v>0.50000000000000022</v>
      </c>
      <c r="C64">
        <f t="shared" si="3"/>
        <v>0.81757447619364287</v>
      </c>
      <c r="D64" s="6">
        <f t="shared" si="1"/>
        <v>0.57446808510638303</v>
      </c>
      <c r="E64" s="6">
        <f t="shared" si="9"/>
        <v>0.375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220.75000000000003</v>
      </c>
      <c r="L64">
        <f t="shared" si="10"/>
        <v>183.24999999999997</v>
      </c>
      <c r="M64">
        <f t="shared" si="8"/>
        <v>0.55994393913660467</v>
      </c>
      <c r="N64">
        <f t="shared" si="11"/>
        <v>204.24789771762266</v>
      </c>
      <c r="O64">
        <f t="shared" si="12"/>
        <v>123.6076245644055</v>
      </c>
      <c r="P64">
        <f t="shared" si="13"/>
        <v>80.64027315321718</v>
      </c>
      <c r="Q64">
        <f t="shared" si="14"/>
        <v>204.24789771762266</v>
      </c>
      <c r="R64" s="7"/>
    </row>
    <row r="65" spans="2:18" x14ac:dyDescent="0.3">
      <c r="B65">
        <f t="shared" si="15"/>
        <v>0.51000000000000023</v>
      </c>
      <c r="C65">
        <f t="shared" si="3"/>
        <v>0.78583498304255772</v>
      </c>
      <c r="D65" s="6">
        <f t="shared" si="1"/>
        <v>0.57446808510638303</v>
      </c>
      <c r="E65" s="6">
        <f t="shared" si="9"/>
        <v>0.375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221.76000000000002</v>
      </c>
      <c r="L65">
        <f t="shared" si="10"/>
        <v>182.21959799999999</v>
      </c>
      <c r="M65">
        <f t="shared" si="8"/>
        <v>0.55171688042585976</v>
      </c>
      <c r="N65">
        <f t="shared" si="11"/>
        <v>204.03470524222442</v>
      </c>
      <c r="O65">
        <f t="shared" si="12"/>
        <v>122.34873540323866</v>
      </c>
      <c r="P65">
        <f t="shared" si="13"/>
        <v>81.685969838985756</v>
      </c>
      <c r="Q65">
        <f t="shared" si="14"/>
        <v>204.03470524222442</v>
      </c>
      <c r="R65" s="7"/>
    </row>
    <row r="66" spans="2:18" x14ac:dyDescent="0.3">
      <c r="B66">
        <f t="shared" si="15"/>
        <v>0.52000000000000024</v>
      </c>
      <c r="C66">
        <f t="shared" si="3"/>
        <v>0.75026010559511658</v>
      </c>
      <c r="D66" s="6">
        <f t="shared" si="1"/>
        <v>0.57446808510638303</v>
      </c>
      <c r="E66" s="6">
        <f t="shared" si="9"/>
        <v>0.375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222.79000000000002</v>
      </c>
      <c r="L66">
        <f t="shared" si="10"/>
        <v>181.12676799999997</v>
      </c>
      <c r="M66">
        <f t="shared" si="8"/>
        <v>0.54276785574668462</v>
      </c>
      <c r="N66">
        <f t="shared" si="11"/>
        <v>203.74023109611664</v>
      </c>
      <c r="O66">
        <f t="shared" si="12"/>
        <v>120.92325058180388</v>
      </c>
      <c r="P66">
        <f t="shared" si="13"/>
        <v>82.816980514312775</v>
      </c>
      <c r="Q66">
        <f t="shared" si="14"/>
        <v>203.74023109611664</v>
      </c>
      <c r="R66" s="7"/>
    </row>
    <row r="67" spans="2:18" x14ac:dyDescent="0.3">
      <c r="B67">
        <f t="shared" si="15"/>
        <v>0.53000000000000025</v>
      </c>
      <c r="C67">
        <f t="shared" si="3"/>
        <v>0.71094950262500278</v>
      </c>
      <c r="D67" s="6">
        <f t="shared" si="1"/>
        <v>0.57446808510638303</v>
      </c>
      <c r="E67" s="6">
        <f t="shared" si="9"/>
        <v>0.375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223.84000000000003</v>
      </c>
      <c r="L67">
        <f t="shared" si="10"/>
        <v>179.96903799999998</v>
      </c>
      <c r="M67">
        <f t="shared" si="8"/>
        <v>0.53312381823359956</v>
      </c>
      <c r="N67">
        <f t="shared" si="11"/>
        <v>203.35769277102116</v>
      </c>
      <c r="O67">
        <f t="shared" si="12"/>
        <v>119.33443547340894</v>
      </c>
      <c r="P67">
        <f t="shared" si="13"/>
        <v>84.023257297612219</v>
      </c>
      <c r="Q67">
        <f t="shared" si="14"/>
        <v>203.35769277102116</v>
      </c>
      <c r="R67" s="7"/>
    </row>
    <row r="68" spans="2:18" x14ac:dyDescent="0.3">
      <c r="B68">
        <f t="shared" si="15"/>
        <v>0.54000000000000026</v>
      </c>
      <c r="C68">
        <f t="shared" si="3"/>
        <v>0.66818777216816483</v>
      </c>
      <c r="D68" s="6">
        <f t="shared" si="1"/>
        <v>0.57446808510638303</v>
      </c>
      <c r="E68" s="6">
        <f t="shared" si="9"/>
        <v>0.375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224.91000000000003</v>
      </c>
      <c r="L68">
        <f t="shared" si="10"/>
        <v>178.74388799999997</v>
      </c>
      <c r="M68">
        <f t="shared" si="8"/>
        <v>0.52285138085997906</v>
      </c>
      <c r="N68">
        <f t="shared" si="11"/>
        <v>202.88190340813645</v>
      </c>
      <c r="O68">
        <f t="shared" si="12"/>
        <v>117.5945040692179</v>
      </c>
      <c r="P68">
        <f t="shared" si="13"/>
        <v>85.287399338918547</v>
      </c>
      <c r="Q68">
        <f t="shared" si="14"/>
        <v>202.88190340813645</v>
      </c>
      <c r="R68" s="7"/>
    </row>
    <row r="69" spans="2:18" x14ac:dyDescent="0.3">
      <c r="B69">
        <f t="shared" si="15"/>
        <v>0.55000000000000027</v>
      </c>
      <c r="C69">
        <f t="shared" si="3"/>
        <v>0.62245933120185315</v>
      </c>
      <c r="D69" s="6">
        <f t="shared" si="1"/>
        <v>0.57446808510638303</v>
      </c>
      <c r="E69" s="6">
        <f t="shared" si="9"/>
        <v>0.375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226.00000000000003</v>
      </c>
      <c r="L69">
        <f t="shared" si="10"/>
        <v>177.44874999999996</v>
      </c>
      <c r="M69">
        <f t="shared" si="8"/>
        <v>0.5120592315001935</v>
      </c>
      <c r="N69">
        <f t="shared" si="11"/>
        <v>202.30986576337375</v>
      </c>
      <c r="O69">
        <f t="shared" si="12"/>
        <v>115.72538631904375</v>
      </c>
      <c r="P69">
        <f t="shared" si="13"/>
        <v>86.584479444330015</v>
      </c>
      <c r="Q69">
        <f t="shared" si="14"/>
        <v>202.30986576337375</v>
      </c>
      <c r="R69" s="7"/>
    </row>
    <row r="70" spans="2:18" x14ac:dyDescent="0.3">
      <c r="B70">
        <f t="shared" si="15"/>
        <v>0.56000000000000028</v>
      </c>
      <c r="C70">
        <f t="shared" si="3"/>
        <v>0.57444251681165748</v>
      </c>
      <c r="D70" s="6">
        <f t="shared" si="1"/>
        <v>0.57446808510638303</v>
      </c>
      <c r="E70" s="6">
        <f t="shared" si="9"/>
        <v>0.375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227.11000000000004</v>
      </c>
      <c r="L70">
        <f t="shared" si="10"/>
        <v>176.08100799999997</v>
      </c>
      <c r="M70">
        <f t="shared" si="8"/>
        <v>0.50089604062560222</v>
      </c>
      <c r="N70">
        <f t="shared" si="11"/>
        <v>201.64122804991553</v>
      </c>
      <c r="O70">
        <f t="shared" si="12"/>
        <v>113.75849978648054</v>
      </c>
      <c r="P70">
        <f t="shared" si="13"/>
        <v>87.882728263434998</v>
      </c>
      <c r="Q70">
        <f t="shared" si="14"/>
        <v>201.64122804991553</v>
      </c>
      <c r="R70" s="7"/>
    </row>
    <row r="71" spans="2:18" x14ac:dyDescent="0.3">
      <c r="B71">
        <f t="shared" si="15"/>
        <v>0.57000000000000028</v>
      </c>
      <c r="C71">
        <f t="shared" si="3"/>
        <v>0.52497918747893846</v>
      </c>
      <c r="D71" s="6">
        <f t="shared" si="1"/>
        <v>0.57446808510638303</v>
      </c>
      <c r="E71" s="6">
        <f t="shared" si="9"/>
        <v>0.375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228.24000000000004</v>
      </c>
      <c r="L71">
        <f t="shared" si="10"/>
        <v>174.63799799999995</v>
      </c>
      <c r="M71">
        <f t="shared" si="8"/>
        <v>0.48954319063887564</v>
      </c>
      <c r="N71">
        <f t="shared" si="11"/>
        <v>200.87849308371136</v>
      </c>
      <c r="O71">
        <f t="shared" si="12"/>
        <v>111.73333783141699</v>
      </c>
      <c r="P71">
        <f t="shared" si="13"/>
        <v>89.145155252294387</v>
      </c>
      <c r="Q71">
        <f t="shared" si="14"/>
        <v>200.87849308371136</v>
      </c>
      <c r="R71" s="4"/>
    </row>
    <row r="72" spans="2:18" x14ac:dyDescent="0.3">
      <c r="B72">
        <f t="shared" si="15"/>
        <v>0.58000000000000029</v>
      </c>
      <c r="C72">
        <f t="shared" si="3"/>
        <v>0.47502081252105832</v>
      </c>
      <c r="D72" s="6">
        <f t="shared" si="1"/>
        <v>0.57446808510638303</v>
      </c>
      <c r="E72" s="6">
        <f t="shared" si="9"/>
        <v>0.375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229.39000000000004</v>
      </c>
      <c r="L72">
        <f t="shared" si="10"/>
        <v>173.11700799999994</v>
      </c>
      <c r="M72">
        <f t="shared" si="8"/>
        <v>0.47820267771359681</v>
      </c>
      <c r="N72">
        <f t="shared" si="11"/>
        <v>200.02690345735579</v>
      </c>
      <c r="O72">
        <f t="shared" si="12"/>
        <v>109.69491224072199</v>
      </c>
      <c r="P72">
        <f t="shared" si="13"/>
        <v>90.33199121663381</v>
      </c>
      <c r="Q72">
        <f t="shared" si="14"/>
        <v>200.02690345735579</v>
      </c>
      <c r="R72" s="4"/>
    </row>
    <row r="73" spans="2:18" x14ac:dyDescent="0.3">
      <c r="B73">
        <f t="shared" si="15"/>
        <v>0.5900000000000003</v>
      </c>
      <c r="C73">
        <f t="shared" si="3"/>
        <v>0.42555748318833941</v>
      </c>
      <c r="D73" s="6">
        <f t="shared" si="1"/>
        <v>0.57446808510638303</v>
      </c>
      <c r="E73" s="6">
        <f t="shared" si="9"/>
        <v>0.375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230.56000000000003</v>
      </c>
      <c r="L73">
        <f t="shared" si="10"/>
        <v>171.51527799999994</v>
      </c>
      <c r="M73">
        <f t="shared" si="8"/>
        <v>0.46708167908912401</v>
      </c>
      <c r="N73">
        <f t="shared" si="11"/>
        <v>199.09398589311053</v>
      </c>
      <c r="O73">
        <f t="shared" si="12"/>
        <v>107.69035193078845</v>
      </c>
      <c r="P73">
        <f t="shared" si="13"/>
        <v>91.403633962322075</v>
      </c>
      <c r="Q73">
        <f t="shared" si="14"/>
        <v>199.09398589311053</v>
      </c>
      <c r="R73" s="4"/>
    </row>
    <row r="74" spans="2:18" x14ac:dyDescent="0.3">
      <c r="B74">
        <f t="shared" si="15"/>
        <v>0.60000000000000031</v>
      </c>
      <c r="C74">
        <f t="shared" si="3"/>
        <v>0.37754066879814385</v>
      </c>
      <c r="D74" s="6">
        <f t="shared" si="1"/>
        <v>0.57446808510638303</v>
      </c>
      <c r="E74" s="6">
        <f t="shared" si="9"/>
        <v>0.375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231.75000000000003</v>
      </c>
      <c r="L74">
        <f t="shared" si="10"/>
        <v>169.82999999999996</v>
      </c>
      <c r="M74">
        <f t="shared" si="8"/>
        <v>0.45637615855585495</v>
      </c>
      <c r="N74">
        <f t="shared" si="11"/>
        <v>198.08881173777851</v>
      </c>
      <c r="O74">
        <f t="shared" si="12"/>
        <v>105.7651747453194</v>
      </c>
      <c r="P74">
        <f t="shared" si="13"/>
        <v>92.323636992459114</v>
      </c>
      <c r="Q74">
        <f t="shared" si="14"/>
        <v>198.08881173777851</v>
      </c>
      <c r="R74" s="4"/>
    </row>
    <row r="75" spans="2:18" x14ac:dyDescent="0.3">
      <c r="B75">
        <f t="shared" si="15"/>
        <v>0.61000000000000032</v>
      </c>
      <c r="C75">
        <f t="shared" si="3"/>
        <v>0.33181222783183228</v>
      </c>
      <c r="D75" s="6">
        <f t="shared" si="1"/>
        <v>0.57446808510638303</v>
      </c>
      <c r="E75" s="6">
        <f t="shared" si="9"/>
        <v>0.375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232.96000000000004</v>
      </c>
      <c r="L75">
        <f t="shared" si="10"/>
        <v>168.05831799999993</v>
      </c>
      <c r="M75">
        <f t="shared" si="8"/>
        <v>0.44625616424909686</v>
      </c>
      <c r="N75">
        <f t="shared" si="11"/>
        <v>197.02109366263463</v>
      </c>
      <c r="O75">
        <f t="shared" si="12"/>
        <v>103.95983602346962</v>
      </c>
      <c r="P75">
        <f t="shared" si="13"/>
        <v>93.061257639165007</v>
      </c>
      <c r="Q75">
        <f t="shared" si="14"/>
        <v>197.02109366263463</v>
      </c>
      <c r="R75" s="4"/>
    </row>
    <row r="76" spans="2:18" x14ac:dyDescent="0.3">
      <c r="B76">
        <f t="shared" si="15"/>
        <v>0.62000000000000033</v>
      </c>
      <c r="C76">
        <f t="shared" si="3"/>
        <v>0.28905049737499455</v>
      </c>
      <c r="D76" s="6">
        <f t="shared" si="1"/>
        <v>0.57446808510638303</v>
      </c>
      <c r="E76" s="6">
        <f t="shared" si="9"/>
        <v>0.375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234.19000000000005</v>
      </c>
      <c r="L76">
        <f t="shared" si="10"/>
        <v>166.19732799999994</v>
      </c>
      <c r="M76">
        <f t="shared" si="8"/>
        <v>0.43685503858866281</v>
      </c>
      <c r="N76">
        <f t="shared" si="11"/>
        <v>195.9002693503063</v>
      </c>
      <c r="O76">
        <f t="shared" si="12"/>
        <v>102.30708148707897</v>
      </c>
      <c r="P76">
        <f t="shared" si="13"/>
        <v>93.593187863227314</v>
      </c>
      <c r="Q76">
        <f t="shared" si="14"/>
        <v>195.9002693503063</v>
      </c>
      <c r="R76" s="4"/>
    </row>
    <row r="77" spans="2:18" x14ac:dyDescent="0.3">
      <c r="B77">
        <f t="shared" si="15"/>
        <v>0.63000000000000034</v>
      </c>
      <c r="C77">
        <f t="shared" si="3"/>
        <v>0.24973989440488098</v>
      </c>
      <c r="D77" s="6">
        <f t="shared" si="1"/>
        <v>0.57446808510638303</v>
      </c>
      <c r="E77" s="6">
        <f t="shared" si="9"/>
        <v>0.375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235.44000000000005</v>
      </c>
      <c r="L77">
        <f t="shared" si="10"/>
        <v>164.24407799999994</v>
      </c>
      <c r="M77">
        <f t="shared" si="8"/>
        <v>0.42826377719847086</v>
      </c>
      <c r="N77">
        <f t="shared" si="11"/>
        <v>194.7347124768477</v>
      </c>
      <c r="O77">
        <f t="shared" si="12"/>
        <v>100.83042370360801</v>
      </c>
      <c r="P77">
        <f t="shared" si="13"/>
        <v>93.904288773239699</v>
      </c>
      <c r="Q77">
        <f t="shared" si="14"/>
        <v>194.7347124768477</v>
      </c>
      <c r="R77" s="4"/>
    </row>
    <row r="78" spans="2:18" x14ac:dyDescent="0.3">
      <c r="B78">
        <f t="shared" si="15"/>
        <v>0.64000000000000035</v>
      </c>
      <c r="C78">
        <f t="shared" si="3"/>
        <v>0.21416501695744006</v>
      </c>
      <c r="D78" s="6">
        <f t="shared" ref="D78:D114" si="17">$D$10/($D$10+$B$10)</f>
        <v>0.57446808510638303</v>
      </c>
      <c r="E78" s="6">
        <f t="shared" si="9"/>
        <v>0.375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236.71000000000004</v>
      </c>
      <c r="L78">
        <f t="shared" si="10"/>
        <v>162.19556799999992</v>
      </c>
      <c r="M78">
        <f t="shared" si="8"/>
        <v>0.42053060500841993</v>
      </c>
      <c r="N78">
        <f t="shared" si="11"/>
        <v>193.53116717081875</v>
      </c>
      <c r="O78">
        <f t="shared" si="12"/>
        <v>99.543799511543099</v>
      </c>
      <c r="P78">
        <f t="shared" si="13"/>
        <v>93.987367659275648</v>
      </c>
      <c r="Q78">
        <f t="shared" si="14"/>
        <v>193.53116717081875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0.18242552380635524</v>
      </c>
      <c r="D79" s="6">
        <f t="shared" si="17"/>
        <v>0.57446808510638303</v>
      </c>
      <c r="E79" s="6">
        <f t="shared" si="9"/>
        <v>0.375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238.00000000000006</v>
      </c>
      <c r="L79">
        <f t="shared" si="10"/>
        <v>160.04874999999993</v>
      </c>
      <c r="M79">
        <f t="shared" ref="M79:M114" si="24">C79*D79^(1-EXP(-5*B79))+(1-C79)*E79</f>
        <v>0.4136648612331445</v>
      </c>
      <c r="N79">
        <f t="shared" si="11"/>
        <v>192.29444301420011</v>
      </c>
      <c r="O79">
        <f t="shared" si="12"/>
        <v>98.452236973488411</v>
      </c>
      <c r="P79">
        <f t="shared" si="13"/>
        <v>93.842206040711716</v>
      </c>
      <c r="Q79">
        <f t="shared" si="14"/>
        <v>192.29444301420011</v>
      </c>
      <c r="R79" s="4"/>
    </row>
    <row r="80" spans="2:18" x14ac:dyDescent="0.3">
      <c r="B80">
        <f t="shared" si="15"/>
        <v>0.66000000000000036</v>
      </c>
      <c r="C80">
        <f t="shared" si="19"/>
        <v>0.15446526508353364</v>
      </c>
      <c r="D80" s="6">
        <f t="shared" si="17"/>
        <v>0.57446808510638303</v>
      </c>
      <c r="E80" s="6">
        <f t="shared" ref="E80:E114" si="25">$E$10/($E$10+$C$10)</f>
        <v>0.375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239.31000000000006</v>
      </c>
      <c r="L80">
        <f t="shared" ref="L80:L114" si="26">$G$10+I80</f>
        <v>157.80052799999993</v>
      </c>
      <c r="M80">
        <f t="shared" si="24"/>
        <v>0.4076437338796346</v>
      </c>
      <c r="N80">
        <f t="shared" ref="N80:N114" si="27">M80*K80+(1-M80)*L80</f>
        <v>191.02735351263749</v>
      </c>
      <c r="O80">
        <f t="shared" ref="O80:O114" si="28">K80*M80</f>
        <v>97.553221954735378</v>
      </c>
      <c r="P80">
        <f t="shared" ref="P80:P114" si="29">(1-M80)*L80</f>
        <v>93.474131557902126</v>
      </c>
      <c r="Q80">
        <f t="shared" ref="Q80:Q114" si="30">P80+O80</f>
        <v>191.02735351263749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0.13010847436299688</v>
      </c>
      <c r="D81" s="6">
        <f t="shared" si="17"/>
        <v>0.57446808510638303</v>
      </c>
      <c r="E81" s="6">
        <f t="shared" si="25"/>
        <v>0.375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240.64000000000004</v>
      </c>
      <c r="L81">
        <f t="shared" si="26"/>
        <v>155.44775799999991</v>
      </c>
      <c r="M81">
        <f t="shared" si="24"/>
        <v>0.40242029238376664</v>
      </c>
      <c r="N81">
        <f t="shared" si="27"/>
        <v>189.73084493446856</v>
      </c>
      <c r="O81">
        <f t="shared" si="28"/>
        <v>96.838419159229616</v>
      </c>
      <c r="P81">
        <f t="shared" si="29"/>
        <v>92.892425775238948</v>
      </c>
      <c r="Q81">
        <f t="shared" si="30"/>
        <v>189.73084493446856</v>
      </c>
      <c r="R81" s="4"/>
    </row>
    <row r="82" spans="2:18" x14ac:dyDescent="0.3">
      <c r="B82">
        <f t="shared" si="31"/>
        <v>0.68000000000000038</v>
      </c>
      <c r="C82">
        <f t="shared" si="19"/>
        <v>0.10909682119561204</v>
      </c>
      <c r="D82" s="6">
        <f t="shared" si="17"/>
        <v>0.57446808510638303</v>
      </c>
      <c r="E82" s="6">
        <f t="shared" si="25"/>
        <v>0.375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241.99000000000007</v>
      </c>
      <c r="L82">
        <f t="shared" si="26"/>
        <v>152.98724799999991</v>
      </c>
      <c r="M82">
        <f t="shared" si="24"/>
        <v>0.39793151567938423</v>
      </c>
      <c r="N82">
        <f t="shared" si="27"/>
        <v>188.40424800299633</v>
      </c>
      <c r="O82">
        <f t="shared" si="28"/>
        <v>96.295447479254221</v>
      </c>
      <c r="P82">
        <f t="shared" si="29"/>
        <v>92.108800523742104</v>
      </c>
      <c r="Q82">
        <f t="shared" si="30"/>
        <v>188.40424800299633</v>
      </c>
      <c r="R82" s="4"/>
    </row>
    <row r="83" spans="2:18" x14ac:dyDescent="0.3">
      <c r="B83">
        <f t="shared" si="31"/>
        <v>0.69000000000000039</v>
      </c>
      <c r="C83">
        <f t="shared" si="19"/>
        <v>9.1122961014855508E-2</v>
      </c>
      <c r="D83" s="6">
        <f t="shared" si="17"/>
        <v>0.57446808510638303</v>
      </c>
      <c r="E83" s="6">
        <f t="shared" si="25"/>
        <v>0.375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243.36000000000004</v>
      </c>
      <c r="L83">
        <f t="shared" si="26"/>
        <v>150.4157579999999</v>
      </c>
      <c r="M83">
        <f t="shared" si="24"/>
        <v>0.39410542650547448</v>
      </c>
      <c r="N83">
        <f t="shared" si="27"/>
        <v>187.045588134638</v>
      </c>
      <c r="O83">
        <f t="shared" si="28"/>
        <v>95.909496594372285</v>
      </c>
      <c r="P83">
        <f t="shared" si="29"/>
        <v>91.13609154026571</v>
      </c>
      <c r="Q83">
        <f t="shared" si="30"/>
        <v>187.045588134638</v>
      </c>
      <c r="R83" s="4"/>
    </row>
    <row r="84" spans="2:18" x14ac:dyDescent="0.3">
      <c r="B84">
        <f t="shared" si="31"/>
        <v>0.7000000000000004</v>
      </c>
      <c r="C84">
        <f t="shared" si="19"/>
        <v>7.5858180021242894E-2</v>
      </c>
      <c r="D84" s="6">
        <f t="shared" si="17"/>
        <v>0.57446808510638303</v>
      </c>
      <c r="E84" s="6">
        <f t="shared" si="25"/>
        <v>0.375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244.75000000000006</v>
      </c>
      <c r="L84">
        <f t="shared" si="26"/>
        <v>147.7299999999999</v>
      </c>
      <c r="M84">
        <f t="shared" si="24"/>
        <v>0.39086686735821941</v>
      </c>
      <c r="N84">
        <f t="shared" si="27"/>
        <v>185.65190347109441</v>
      </c>
      <c r="O84">
        <f t="shared" si="28"/>
        <v>95.664665785924228</v>
      </c>
      <c r="P84">
        <f t="shared" si="29"/>
        <v>89.987237685170186</v>
      </c>
      <c r="Q84">
        <f t="shared" si="30"/>
        <v>185.65190347109441</v>
      </c>
      <c r="R84" s="4"/>
    </row>
    <row r="85" spans="2:18" x14ac:dyDescent="0.3">
      <c r="B85">
        <f t="shared" si="31"/>
        <v>0.71000000000000041</v>
      </c>
      <c r="C85">
        <f t="shared" si="19"/>
        <v>6.2973356056995833E-2</v>
      </c>
      <c r="D85" s="6">
        <f t="shared" si="17"/>
        <v>0.57446808510638303</v>
      </c>
      <c r="E85" s="6">
        <f t="shared" si="25"/>
        <v>0.375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246.16000000000005</v>
      </c>
      <c r="L85">
        <f t="shared" si="26"/>
        <v>144.92663799999991</v>
      </c>
      <c r="M85">
        <f t="shared" si="24"/>
        <v>0.38814179570873392</v>
      </c>
      <c r="N85">
        <f t="shared" si="27"/>
        <v>184.21953691231226</v>
      </c>
      <c r="O85">
        <f t="shared" si="28"/>
        <v>95.544984431661959</v>
      </c>
      <c r="P85">
        <f t="shared" si="29"/>
        <v>88.67455248065032</v>
      </c>
      <c r="Q85">
        <f t="shared" si="30"/>
        <v>184.21953691231226</v>
      </c>
      <c r="R85" s="4"/>
    </row>
    <row r="86" spans="2:18" x14ac:dyDescent="0.3">
      <c r="B86">
        <f t="shared" si="31"/>
        <v>0.72000000000000042</v>
      </c>
      <c r="C86">
        <f t="shared" si="19"/>
        <v>5.2153563078417231E-2</v>
      </c>
      <c r="D86" s="6">
        <f t="shared" si="17"/>
        <v>0.57446808510638303</v>
      </c>
      <c r="E86" s="6">
        <f t="shared" si="25"/>
        <v>0.375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247.59000000000006</v>
      </c>
      <c r="L86">
        <f t="shared" si="26"/>
        <v>142.00228799999985</v>
      </c>
      <c r="M86">
        <f t="shared" si="24"/>
        <v>0.38586020278495636</v>
      </c>
      <c r="N86">
        <f t="shared" si="27"/>
        <v>182.74438396391952</v>
      </c>
      <c r="O86">
        <f t="shared" si="28"/>
        <v>95.535127607527372</v>
      </c>
      <c r="P86">
        <f t="shared" si="29"/>
        <v>87.209256356392132</v>
      </c>
      <c r="Q86">
        <f t="shared" si="30"/>
        <v>182.74438396391952</v>
      </c>
      <c r="R86" s="4"/>
    </row>
    <row r="87" spans="2:18" x14ac:dyDescent="0.3">
      <c r="B87">
        <f t="shared" si="31"/>
        <v>0.73000000000000043</v>
      </c>
      <c r="C87">
        <f t="shared" si="19"/>
        <v>4.3107254941085693E-2</v>
      </c>
      <c r="D87" s="6">
        <f t="shared" si="17"/>
        <v>0.57446808510638303</v>
      </c>
      <c r="E87" s="6">
        <f t="shared" si="25"/>
        <v>0.375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249.04000000000008</v>
      </c>
      <c r="L87">
        <f t="shared" si="26"/>
        <v>138.95351799999986</v>
      </c>
      <c r="M87">
        <f t="shared" si="24"/>
        <v>0.38395787928212416</v>
      </c>
      <c r="N87">
        <f t="shared" si="27"/>
        <v>181.22209016634969</v>
      </c>
      <c r="O87">
        <f t="shared" si="28"/>
        <v>95.620870256420233</v>
      </c>
      <c r="P87">
        <f t="shared" si="29"/>
        <v>85.601219909929455</v>
      </c>
      <c r="Q87">
        <f t="shared" si="30"/>
        <v>181.22209016634969</v>
      </c>
      <c r="R87" s="4"/>
    </row>
    <row r="88" spans="2:18" x14ac:dyDescent="0.3">
      <c r="B88">
        <f t="shared" si="31"/>
        <v>0.74000000000000044</v>
      </c>
      <c r="C88">
        <f t="shared" si="19"/>
        <v>3.5571189272635917E-2</v>
      </c>
      <c r="D88" s="6">
        <f t="shared" si="17"/>
        <v>0.57446808510638303</v>
      </c>
      <c r="E88" s="6">
        <f t="shared" si="25"/>
        <v>0.375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250.51000000000005</v>
      </c>
      <c r="L88">
        <f t="shared" si="26"/>
        <v>135.77684799999986</v>
      </c>
      <c r="M88">
        <f t="shared" si="24"/>
        <v>0.38237728985990627</v>
      </c>
      <c r="N88">
        <f t="shared" si="27"/>
        <v>179.64819971884461</v>
      </c>
      <c r="O88">
        <f t="shared" si="28"/>
        <v>95.789334882805136</v>
      </c>
      <c r="P88">
        <f t="shared" si="29"/>
        <v>83.858864836039473</v>
      </c>
      <c r="Q88">
        <f t="shared" si="30"/>
        <v>179.64819971884461</v>
      </c>
      <c r="R88" s="4"/>
    </row>
    <row r="89" spans="2:18" x14ac:dyDescent="0.3">
      <c r="B89">
        <f t="shared" si="31"/>
        <v>0.75000000000000044</v>
      </c>
      <c r="C89">
        <f t="shared" si="19"/>
        <v>2.9312230751356028E-2</v>
      </c>
      <c r="D89" s="6">
        <f t="shared" si="17"/>
        <v>0.57446808510638303</v>
      </c>
      <c r="E89" s="6">
        <f t="shared" si="25"/>
        <v>0.375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252.00000000000006</v>
      </c>
      <c r="L89">
        <f t="shared" si="26"/>
        <v>132.46874999999983</v>
      </c>
      <c r="M89">
        <f t="shared" si="24"/>
        <v>0.38106780636500764</v>
      </c>
      <c r="N89">
        <f t="shared" si="27"/>
        <v>178.01826122956723</v>
      </c>
      <c r="O89">
        <f t="shared" si="28"/>
        <v>96.029087203981945</v>
      </c>
      <c r="P89">
        <f t="shared" si="29"/>
        <v>81.989174025585285</v>
      </c>
      <c r="Q89">
        <f t="shared" si="30"/>
        <v>178.01826122956723</v>
      </c>
      <c r="R89" s="4"/>
    </row>
    <row r="90" spans="2:18" x14ac:dyDescent="0.3">
      <c r="B90">
        <f t="shared" si="31"/>
        <v>0.76000000000000045</v>
      </c>
      <c r="C90">
        <f t="shared" si="19"/>
        <v>2.4127021417668981E-2</v>
      </c>
      <c r="D90" s="6">
        <f t="shared" si="17"/>
        <v>0.57446808510638303</v>
      </c>
      <c r="E90" s="6">
        <f t="shared" si="25"/>
        <v>0.375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253.51000000000008</v>
      </c>
      <c r="L90">
        <f t="shared" si="26"/>
        <v>129.02564799999985</v>
      </c>
      <c r="M90">
        <f t="shared" si="24"/>
        <v>0.3799855123170402</v>
      </c>
      <c r="N90">
        <f t="shared" si="27"/>
        <v>176.32789827017473</v>
      </c>
      <c r="O90">
        <f t="shared" si="28"/>
        <v>96.330127227492895</v>
      </c>
      <c r="P90">
        <f t="shared" si="29"/>
        <v>79.997771042681819</v>
      </c>
      <c r="Q90">
        <f t="shared" si="30"/>
        <v>176.32789827017473</v>
      </c>
      <c r="R90" s="4"/>
    </row>
    <row r="91" spans="2:18" x14ac:dyDescent="0.3">
      <c r="B91">
        <f t="shared" si="31"/>
        <v>0.77000000000000046</v>
      </c>
      <c r="C91">
        <f t="shared" si="19"/>
        <v>1.9840305734077246E-2</v>
      </c>
      <c r="D91" s="6">
        <f t="shared" si="17"/>
        <v>0.57446808510638303</v>
      </c>
      <c r="E91" s="6">
        <f t="shared" si="25"/>
        <v>0.375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255.04000000000008</v>
      </c>
      <c r="L91">
        <f t="shared" si="26"/>
        <v>125.44391799999983</v>
      </c>
      <c r="M91">
        <f t="shared" si="24"/>
        <v>0.37909274546834598</v>
      </c>
      <c r="N91">
        <f t="shared" si="27"/>
        <v>174.57285252732083</v>
      </c>
      <c r="O91">
        <f t="shared" si="28"/>
        <v>96.683813804246995</v>
      </c>
      <c r="P91">
        <f t="shared" si="29"/>
        <v>77.889038723073838</v>
      </c>
      <c r="Q91">
        <f t="shared" si="30"/>
        <v>174.57285252732083</v>
      </c>
      <c r="R91" s="4"/>
    </row>
    <row r="92" spans="2:18" x14ac:dyDescent="0.3">
      <c r="B92">
        <f t="shared" si="31"/>
        <v>0.78000000000000047</v>
      </c>
      <c r="C92">
        <f t="shared" si="19"/>
        <v>1.6302499371440682E-2</v>
      </c>
      <c r="D92" s="6">
        <f t="shared" si="17"/>
        <v>0.57446808510638303</v>
      </c>
      <c r="E92" s="6">
        <f t="shared" si="25"/>
        <v>0.375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256.59000000000009</v>
      </c>
      <c r="L92">
        <f t="shared" si="26"/>
        <v>121.71988799999983</v>
      </c>
      <c r="M92">
        <f t="shared" si="24"/>
        <v>0.3783575012369666</v>
      </c>
      <c r="N92">
        <f t="shared" si="27"/>
        <v>172.74900656786974</v>
      </c>
      <c r="O92">
        <f t="shared" si="28"/>
        <v>97.082751242393286</v>
      </c>
      <c r="P92">
        <f t="shared" si="29"/>
        <v>75.666255325476456</v>
      </c>
      <c r="Q92">
        <f t="shared" si="30"/>
        <v>172.74900656786974</v>
      </c>
      <c r="R92" s="4"/>
    </row>
    <row r="93" spans="2:18" x14ac:dyDescent="0.3">
      <c r="B93">
        <f t="shared" si="31"/>
        <v>0.79000000000000048</v>
      </c>
      <c r="C93">
        <f t="shared" si="19"/>
        <v>1.3386917827664657E-2</v>
      </c>
      <c r="D93" s="6">
        <f t="shared" si="17"/>
        <v>0.57446808510638303</v>
      </c>
      <c r="E93" s="6">
        <f t="shared" si="25"/>
        <v>0.375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258.16000000000008</v>
      </c>
      <c r="L93">
        <f t="shared" si="26"/>
        <v>117.84983799999981</v>
      </c>
      <c r="M93">
        <f t="shared" si="24"/>
        <v>0.37775278230667275</v>
      </c>
      <c r="N93">
        <f t="shared" si="27"/>
        <v>170.8523920813999</v>
      </c>
      <c r="O93">
        <f t="shared" si="28"/>
        <v>97.520658280290675</v>
      </c>
      <c r="P93">
        <f t="shared" si="29"/>
        <v>73.331733801109223</v>
      </c>
      <c r="Q93">
        <f t="shared" si="30"/>
        <v>170.8523920813999</v>
      </c>
      <c r="R93" s="4"/>
    </row>
    <row r="94" spans="2:18" x14ac:dyDescent="0.3">
      <c r="B94">
        <f t="shared" si="31"/>
        <v>0.80000000000000049</v>
      </c>
      <c r="C94">
        <f t="shared" si="19"/>
        <v>1.0986942630593188E-2</v>
      </c>
      <c r="D94" s="6">
        <f t="shared" si="17"/>
        <v>0.57446808510638303</v>
      </c>
      <c r="E94" s="6">
        <f t="shared" si="25"/>
        <v>0.375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259.75000000000011</v>
      </c>
      <c r="L94">
        <f t="shared" si="26"/>
        <v>113.8299999999998</v>
      </c>
      <c r="M94">
        <f t="shared" si="24"/>
        <v>0.37725595014998647</v>
      </c>
      <c r="N94">
        <f t="shared" si="27"/>
        <v>168.87918824588593</v>
      </c>
      <c r="O94">
        <f t="shared" si="28"/>
        <v>97.992233051459024</v>
      </c>
      <c r="P94">
        <f t="shared" si="29"/>
        <v>70.886955194426918</v>
      </c>
      <c r="Q94">
        <f t="shared" si="30"/>
        <v>168.87918824588593</v>
      </c>
      <c r="R94" s="7"/>
    </row>
    <row r="95" spans="2:18" x14ac:dyDescent="0.3">
      <c r="B95">
        <f t="shared" si="31"/>
        <v>0.8100000000000005</v>
      </c>
      <c r="C95">
        <f t="shared" si="19"/>
        <v>9.0132986528477232E-3</v>
      </c>
      <c r="D95" s="6">
        <f t="shared" si="17"/>
        <v>0.57446808510638303</v>
      </c>
      <c r="E95" s="6">
        <f t="shared" si="25"/>
        <v>0.375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261.36000000000007</v>
      </c>
      <c r="L95">
        <f t="shared" si="26"/>
        <v>109.65655799999979</v>
      </c>
      <c r="M95">
        <f t="shared" si="24"/>
        <v>0.37684811229969239</v>
      </c>
      <c r="N95">
        <f t="shared" si="27"/>
        <v>166.82571374706578</v>
      </c>
      <c r="O95">
        <f t="shared" si="28"/>
        <v>98.49302263064763</v>
      </c>
      <c r="P95">
        <f t="shared" si="29"/>
        <v>68.332691116418133</v>
      </c>
      <c r="Q95">
        <f t="shared" si="30"/>
        <v>166.82571374706578</v>
      </c>
      <c r="R95" s="4"/>
    </row>
    <row r="96" spans="2:18" x14ac:dyDescent="0.3">
      <c r="B96">
        <f t="shared" si="31"/>
        <v>0.82000000000000051</v>
      </c>
      <c r="C96">
        <f t="shared" si="19"/>
        <v>7.3915413442818823E-3</v>
      </c>
      <c r="D96" s="6">
        <f t="shared" si="17"/>
        <v>0.57446808510638303</v>
      </c>
      <c r="E96" s="6">
        <f t="shared" si="25"/>
        <v>0.375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262.99000000000007</v>
      </c>
      <c r="L96">
        <f t="shared" si="26"/>
        <v>105.32564799999979</v>
      </c>
      <c r="M96">
        <f t="shared" si="24"/>
        <v>0.376513563701244</v>
      </c>
      <c r="N96">
        <f t="shared" si="27"/>
        <v>164.68841504016726</v>
      </c>
      <c r="O96">
        <f t="shared" si="28"/>
        <v>99.01930211779019</v>
      </c>
      <c r="P96">
        <f t="shared" si="29"/>
        <v>65.669112922377067</v>
      </c>
      <c r="Q96">
        <f t="shared" si="30"/>
        <v>164.68841504016726</v>
      </c>
      <c r="R96" s="4"/>
    </row>
    <row r="97" spans="2:18" x14ac:dyDescent="0.3">
      <c r="B97">
        <f t="shared" si="31"/>
        <v>0.83000000000000052</v>
      </c>
      <c r="C97">
        <f t="shared" si="19"/>
        <v>6.059801491584027E-3</v>
      </c>
      <c r="D97" s="6">
        <f t="shared" si="17"/>
        <v>0.57446808510638303</v>
      </c>
      <c r="E97" s="6">
        <f t="shared" si="25"/>
        <v>0.375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264.6400000000001</v>
      </c>
      <c r="L97">
        <f t="shared" si="26"/>
        <v>100.83335799999978</v>
      </c>
      <c r="M97">
        <f t="shared" si="24"/>
        <v>0.37623929003707157</v>
      </c>
      <c r="N97">
        <f t="shared" si="27"/>
        <v>162.46385268943666</v>
      </c>
      <c r="O97">
        <f t="shared" si="28"/>
        <v>99.567965715410665</v>
      </c>
      <c r="P97">
        <f t="shared" si="29"/>
        <v>62.895886974025991</v>
      </c>
      <c r="Q97">
        <f t="shared" si="30"/>
        <v>162.46385268943666</v>
      </c>
      <c r="R97" s="4"/>
    </row>
    <row r="98" spans="2:18" x14ac:dyDescent="0.3">
      <c r="B98">
        <f t="shared" si="31"/>
        <v>0.84000000000000052</v>
      </c>
      <c r="C98">
        <f t="shared" si="19"/>
        <v>4.9668016500568068E-3</v>
      </c>
      <c r="D98" s="6">
        <f t="shared" si="17"/>
        <v>0.57446808510638303</v>
      </c>
      <c r="E98" s="6">
        <f t="shared" si="25"/>
        <v>0.375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266.31000000000006</v>
      </c>
      <c r="L98">
        <f t="shared" si="26"/>
        <v>96.175727999999751</v>
      </c>
      <c r="M98">
        <f t="shared" si="24"/>
        <v>0.37601453422728792</v>
      </c>
      <c r="N98">
        <f t="shared" si="27"/>
        <v>160.14868704217858</v>
      </c>
      <c r="O98">
        <f t="shared" si="28"/>
        <v>100.13643061006907</v>
      </c>
      <c r="P98">
        <f t="shared" si="29"/>
        <v>60.01225643210951</v>
      </c>
      <c r="Q98">
        <f t="shared" si="30"/>
        <v>160.14868704217858</v>
      </c>
      <c r="R98" s="4"/>
    </row>
    <row r="99" spans="2:18" x14ac:dyDescent="0.3">
      <c r="B99">
        <f t="shared" si="31"/>
        <v>0.85000000000000053</v>
      </c>
      <c r="C99">
        <f t="shared" si="19"/>
        <v>4.0701377158960383E-3</v>
      </c>
      <c r="D99" s="6">
        <f t="shared" si="17"/>
        <v>0.57446808510638303</v>
      </c>
      <c r="E99" s="6">
        <f t="shared" si="25"/>
        <v>0.375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268.00000000000011</v>
      </c>
      <c r="L99">
        <f t="shared" si="26"/>
        <v>91.34874999999974</v>
      </c>
      <c r="M99">
        <f t="shared" si="24"/>
        <v>0.37583042329665206</v>
      </c>
      <c r="N99">
        <f t="shared" si="27"/>
        <v>157.73966406338258</v>
      </c>
      <c r="O99">
        <f t="shared" si="28"/>
        <v>100.72255344350279</v>
      </c>
      <c r="P99">
        <f t="shared" si="29"/>
        <v>57.017110619879794</v>
      </c>
      <c r="Q99">
        <f t="shared" si="30"/>
        <v>157.73966406338258</v>
      </c>
      <c r="R99" s="4"/>
    </row>
    <row r="100" spans="2:18" x14ac:dyDescent="0.3">
      <c r="B100">
        <f t="shared" si="31"/>
        <v>0.86000000000000054</v>
      </c>
      <c r="C100">
        <f t="shared" si="19"/>
        <v>3.3348073074133122E-3</v>
      </c>
      <c r="D100" s="6">
        <f t="shared" si="17"/>
        <v>0.57446808510638303</v>
      </c>
      <c r="E100" s="6">
        <f t="shared" si="25"/>
        <v>0.375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269.71000000000009</v>
      </c>
      <c r="L100">
        <f t="shared" si="26"/>
        <v>86.348367999999724</v>
      </c>
      <c r="M100">
        <f t="shared" si="24"/>
        <v>0.37567965061159952</v>
      </c>
      <c r="N100">
        <f t="shared" si="27"/>
        <v>155.23360184533254</v>
      </c>
      <c r="O100">
        <f t="shared" si="28"/>
        <v>101.32455856645454</v>
      </c>
      <c r="P100">
        <f t="shared" si="29"/>
        <v>53.909043278878002</v>
      </c>
      <c r="Q100">
        <f t="shared" si="30"/>
        <v>155.23360184533254</v>
      </c>
      <c r="R100" s="4"/>
    </row>
    <row r="101" spans="2:18" x14ac:dyDescent="0.3">
      <c r="B101">
        <f t="shared" si="31"/>
        <v>0.87000000000000055</v>
      </c>
      <c r="C101">
        <f t="shared" si="19"/>
        <v>2.7319607630109655E-3</v>
      </c>
      <c r="D101" s="6">
        <f t="shared" si="17"/>
        <v>0.57446808510638303</v>
      </c>
      <c r="E101" s="6">
        <f t="shared" si="25"/>
        <v>0.375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271.44000000000011</v>
      </c>
      <c r="L101">
        <f t="shared" si="26"/>
        <v>81.170477999999719</v>
      </c>
      <c r="M101">
        <f t="shared" si="24"/>
        <v>0.37555620750869906</v>
      </c>
      <c r="N101">
        <f t="shared" si="27"/>
        <v>152.62737808681285</v>
      </c>
      <c r="O101">
        <f t="shared" si="28"/>
        <v>101.94097696616132</v>
      </c>
      <c r="P101">
        <f t="shared" si="29"/>
        <v>50.686401120651531</v>
      </c>
      <c r="Q101">
        <f t="shared" si="30"/>
        <v>152.62737808681285</v>
      </c>
      <c r="R101" s="4"/>
    </row>
    <row r="102" spans="2:18" x14ac:dyDescent="0.3">
      <c r="B102">
        <f t="shared" si="31"/>
        <v>0.88000000000000056</v>
      </c>
      <c r="C102">
        <f t="shared" si="19"/>
        <v>2.2378485212761756E-3</v>
      </c>
      <c r="D102" s="6">
        <f t="shared" si="17"/>
        <v>0.57446808510638303</v>
      </c>
      <c r="E102" s="6">
        <f t="shared" si="25"/>
        <v>0.375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273.19000000000011</v>
      </c>
      <c r="L102">
        <f t="shared" si="26"/>
        <v>75.810927999999691</v>
      </c>
      <c r="M102">
        <f t="shared" si="24"/>
        <v>0.37545515811143249</v>
      </c>
      <c r="N102">
        <f t="shared" si="27"/>
        <v>149.91791868564766</v>
      </c>
      <c r="O102">
        <f t="shared" si="28"/>
        <v>102.57059464446229</v>
      </c>
      <c r="P102">
        <f t="shared" si="29"/>
        <v>47.347324041185381</v>
      </c>
      <c r="Q102">
        <f t="shared" si="30"/>
        <v>149.91791868564766</v>
      </c>
      <c r="R102" s="4"/>
    </row>
    <row r="103" spans="2:18" x14ac:dyDescent="0.3">
      <c r="B103">
        <f t="shared" si="31"/>
        <v>0.89000000000000057</v>
      </c>
      <c r="C103">
        <f t="shared" si="19"/>
        <v>1.8329389424928122E-3</v>
      </c>
      <c r="D103" s="6">
        <f t="shared" si="17"/>
        <v>0.57446808510638303</v>
      </c>
      <c r="E103" s="6">
        <f t="shared" si="25"/>
        <v>0.375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274.96000000000009</v>
      </c>
      <c r="L103">
        <f t="shared" si="26"/>
        <v>70.265517999999673</v>
      </c>
      <c r="M103">
        <f t="shared" si="24"/>
        <v>0.37537245135832137</v>
      </c>
      <c r="N103">
        <f t="shared" si="27"/>
        <v>147.10218748786161</v>
      </c>
      <c r="O103">
        <f t="shared" si="28"/>
        <v>103.21240922548408</v>
      </c>
      <c r="P103">
        <f t="shared" si="29"/>
        <v>43.88977826237754</v>
      </c>
      <c r="Q103">
        <f t="shared" si="30"/>
        <v>147.10218748786161</v>
      </c>
      <c r="R103" s="4"/>
    </row>
    <row r="104" spans="2:18" x14ac:dyDescent="0.3">
      <c r="B104">
        <f t="shared" si="31"/>
        <v>0.90000000000000058</v>
      </c>
      <c r="C104">
        <f t="shared" si="19"/>
        <v>1.5011822567370103E-3</v>
      </c>
      <c r="D104" s="6">
        <f t="shared" si="17"/>
        <v>0.57446808510638303</v>
      </c>
      <c r="E104" s="6">
        <f t="shared" si="25"/>
        <v>0.375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276.75000000000011</v>
      </c>
      <c r="L104">
        <f t="shared" si="26"/>
        <v>64.52999999999966</v>
      </c>
      <c r="M104">
        <f t="shared" si="24"/>
        <v>0.37530476473668478</v>
      </c>
      <c r="N104">
        <f t="shared" si="27"/>
        <v>144.17717717241908</v>
      </c>
      <c r="O104">
        <f t="shared" si="28"/>
        <v>103.86559364087756</v>
      </c>
      <c r="P104">
        <f t="shared" si="29"/>
        <v>40.311583531541523</v>
      </c>
      <c r="Q104">
        <f t="shared" si="30"/>
        <v>144.17717717241908</v>
      </c>
      <c r="R104" s="4"/>
    </row>
    <row r="105" spans="2:18" x14ac:dyDescent="0.3">
      <c r="B105">
        <f t="shared" si="31"/>
        <v>0.91000000000000059</v>
      </c>
      <c r="C105">
        <f t="shared" si="19"/>
        <v>1.2293986212773556E-3</v>
      </c>
      <c r="D105" s="6">
        <f t="shared" si="17"/>
        <v>0.57446808510638303</v>
      </c>
      <c r="E105" s="6">
        <f t="shared" si="25"/>
        <v>0.375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278.56000000000012</v>
      </c>
      <c r="L105">
        <f t="shared" si="26"/>
        <v>58.600077999999655</v>
      </c>
      <c r="M105">
        <f t="shared" si="24"/>
        <v>0.37524937479984782</v>
      </c>
      <c r="N105">
        <f t="shared" si="27"/>
        <v>141.13990121152312</v>
      </c>
      <c r="O105">
        <f t="shared" si="28"/>
        <v>104.52946584424565</v>
      </c>
      <c r="P105">
        <f t="shared" si="29"/>
        <v>36.610435367277468</v>
      </c>
      <c r="Q105">
        <f t="shared" si="30"/>
        <v>141.13990121152312</v>
      </c>
      <c r="R105" s="4"/>
    </row>
    <row r="106" spans="2:18" x14ac:dyDescent="0.3">
      <c r="B106">
        <f t="shared" si="31"/>
        <v>0.9200000000000006</v>
      </c>
      <c r="C106">
        <f t="shared" si="19"/>
        <v>1.0067708200856007E-3</v>
      </c>
      <c r="D106" s="6">
        <f t="shared" si="17"/>
        <v>0.57446808510638303</v>
      </c>
      <c r="E106" s="6">
        <f t="shared" si="25"/>
        <v>0.375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280.3900000000001</v>
      </c>
      <c r="L106">
        <f t="shared" si="26"/>
        <v>52.471407999999656</v>
      </c>
      <c r="M106">
        <f t="shared" si="24"/>
        <v>0.37520405015886155</v>
      </c>
      <c r="N106">
        <f t="shared" si="27"/>
        <v>137.98738682490492</v>
      </c>
      <c r="O106">
        <f t="shared" si="28"/>
        <v>105.20346362404322</v>
      </c>
      <c r="P106">
        <f t="shared" si="29"/>
        <v>32.783923200861693</v>
      </c>
      <c r="Q106">
        <f t="shared" si="30"/>
        <v>137.98738682490492</v>
      </c>
      <c r="R106" s="4"/>
    </row>
    <row r="107" spans="2:18" x14ac:dyDescent="0.3">
      <c r="B107">
        <f t="shared" si="31"/>
        <v>0.9300000000000006</v>
      </c>
      <c r="C107">
        <f t="shared" si="19"/>
        <v>8.2442468639831734E-4</v>
      </c>
      <c r="D107" s="6">
        <f t="shared" si="17"/>
        <v>0.57446808510638303</v>
      </c>
      <c r="E107" s="6">
        <f t="shared" si="25"/>
        <v>0.375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282.24000000000012</v>
      </c>
      <c r="L107">
        <f t="shared" si="26"/>
        <v>46.139597999999637</v>
      </c>
      <c r="M107">
        <f t="shared" si="24"/>
        <v>0.37516696323407084</v>
      </c>
      <c r="N107">
        <f t="shared" si="27"/>
        <v>134.71666883668317</v>
      </c>
      <c r="O107">
        <f t="shared" si="28"/>
        <v>105.8871237031842</v>
      </c>
      <c r="P107">
        <f t="shared" si="29"/>
        <v>28.829545133498964</v>
      </c>
      <c r="Q107">
        <f t="shared" si="30"/>
        <v>134.71666883668317</v>
      </c>
      <c r="R107" s="4"/>
    </row>
    <row r="108" spans="2:18" x14ac:dyDescent="0.3">
      <c r="B108">
        <f t="shared" si="31"/>
        <v>0.94000000000000061</v>
      </c>
      <c r="C108">
        <f t="shared" si="19"/>
        <v>6.7508273063277002E-4</v>
      </c>
      <c r="D108" s="6">
        <f t="shared" si="17"/>
        <v>0.57446808510638303</v>
      </c>
      <c r="E108" s="6">
        <f t="shared" si="25"/>
        <v>0.375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284.11000000000013</v>
      </c>
      <c r="L108">
        <f t="shared" si="26"/>
        <v>39.600207999999583</v>
      </c>
      <c r="M108">
        <f t="shared" si="24"/>
        <v>0.37513661760078604</v>
      </c>
      <c r="N108">
        <f t="shared" si="27"/>
        <v>131.32478434115154</v>
      </c>
      <c r="O108">
        <f t="shared" si="28"/>
        <v>106.58006442655937</v>
      </c>
      <c r="P108">
        <f t="shared" si="29"/>
        <v>24.744719914592153</v>
      </c>
      <c r="Q108">
        <f t="shared" si="30"/>
        <v>131.32478434115154</v>
      </c>
      <c r="R108" s="4"/>
    </row>
    <row r="109" spans="2:18" x14ac:dyDescent="0.3">
      <c r="B109">
        <f t="shared" si="31"/>
        <v>0.95000000000000062</v>
      </c>
      <c r="C109">
        <f t="shared" si="19"/>
        <v>5.5277863692360096E-4</v>
      </c>
      <c r="D109" s="6">
        <f t="shared" si="17"/>
        <v>0.57446808510638303</v>
      </c>
      <c r="E109" s="6">
        <f t="shared" si="25"/>
        <v>0.375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286.00000000000011</v>
      </c>
      <c r="L109">
        <f t="shared" si="26"/>
        <v>32.848749999999569</v>
      </c>
      <c r="M109">
        <f t="shared" si="24"/>
        <v>0.37511178825469904</v>
      </c>
      <c r="N109">
        <f t="shared" si="27"/>
        <v>127.80876808641216</v>
      </c>
      <c r="O109">
        <f t="shared" si="28"/>
        <v>107.28197144084398</v>
      </c>
      <c r="P109">
        <f t="shared" si="29"/>
        <v>20.526796645568187</v>
      </c>
      <c r="Q109">
        <f t="shared" si="30"/>
        <v>127.80876808641216</v>
      </c>
      <c r="R109" s="4"/>
    </row>
    <row r="110" spans="2:18" x14ac:dyDescent="0.3">
      <c r="B110">
        <f t="shared" si="31"/>
        <v>0.96000000000000063</v>
      </c>
      <c r="C110">
        <f t="shared" si="19"/>
        <v>4.5262222324049528E-4</v>
      </c>
      <c r="D110" s="6">
        <f t="shared" si="17"/>
        <v>0.57446808510638303</v>
      </c>
      <c r="E110" s="6">
        <f t="shared" si="25"/>
        <v>0.375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287.91000000000014</v>
      </c>
      <c r="L110">
        <f t="shared" si="26"/>
        <v>25.880687999999566</v>
      </c>
      <c r="M110">
        <f t="shared" si="24"/>
        <v>0.37509147255309655</v>
      </c>
      <c r="N110">
        <f t="shared" si="27"/>
        <v>124.16564849015455</v>
      </c>
      <c r="O110">
        <f t="shared" si="28"/>
        <v>107.99258586276208</v>
      </c>
      <c r="P110">
        <f t="shared" si="29"/>
        <v>16.173062627392476</v>
      </c>
      <c r="Q110">
        <f t="shared" si="30"/>
        <v>124.16564849015455</v>
      </c>
      <c r="R110" s="4"/>
    </row>
    <row r="111" spans="2:18" x14ac:dyDescent="0.3">
      <c r="B111">
        <f t="shared" si="31"/>
        <v>0.97000000000000064</v>
      </c>
      <c r="C111">
        <f t="shared" si="19"/>
        <v>3.7060614062645048E-4</v>
      </c>
      <c r="D111" s="6">
        <f t="shared" si="17"/>
        <v>0.57446808510638303</v>
      </c>
      <c r="E111" s="6">
        <f t="shared" si="25"/>
        <v>0.375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289.84000000000015</v>
      </c>
      <c r="L111">
        <f t="shared" si="26"/>
        <v>18.691437999999494</v>
      </c>
      <c r="M111">
        <f t="shared" si="24"/>
        <v>0.37507484995904911</v>
      </c>
      <c r="N111">
        <f t="shared" si="27"/>
        <v>120.39244420876166</v>
      </c>
      <c r="O111">
        <f t="shared" si="28"/>
        <v>108.71169451213085</v>
      </c>
      <c r="P111">
        <f t="shared" si="29"/>
        <v>11.680749696630816</v>
      </c>
      <c r="Q111">
        <f t="shared" si="30"/>
        <v>120.39244420876166</v>
      </c>
      <c r="R111" s="4"/>
    </row>
    <row r="112" spans="2:18" x14ac:dyDescent="0.3">
      <c r="B112">
        <f t="shared" si="31"/>
        <v>0.98000000000000065</v>
      </c>
      <c r="C112">
        <f t="shared" si="19"/>
        <v>3.03447030028825E-4</v>
      </c>
      <c r="D112" s="6">
        <f t="shared" si="17"/>
        <v>0.57446808510638303</v>
      </c>
      <c r="E112" s="6">
        <f t="shared" si="25"/>
        <v>0.375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291.79000000000013</v>
      </c>
      <c r="L112">
        <f t="shared" si="26"/>
        <v>11.276367999999508</v>
      </c>
      <c r="M112">
        <f t="shared" si="24"/>
        <v>0.37506124903203336</v>
      </c>
      <c r="N112">
        <f t="shared" si="27"/>
        <v>116.48616118843191</v>
      </c>
      <c r="O112">
        <f t="shared" si="28"/>
        <v>109.43912185505707</v>
      </c>
      <c r="P112">
        <f t="shared" si="29"/>
        <v>7.0470393333748413</v>
      </c>
      <c r="Q112">
        <f t="shared" si="30"/>
        <v>116.48616118843191</v>
      </c>
      <c r="R112" s="4"/>
    </row>
    <row r="113" spans="2:18" x14ac:dyDescent="0.3">
      <c r="B113">
        <f t="shared" si="31"/>
        <v>0.99000000000000066</v>
      </c>
      <c r="C113">
        <f t="shared" si="19"/>
        <v>2.4845508183946041E-4</v>
      </c>
      <c r="D113" s="6">
        <f t="shared" si="17"/>
        <v>0.57446808510638303</v>
      </c>
      <c r="E113" s="6">
        <f t="shared" si="25"/>
        <v>0.375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293.7600000000001</v>
      </c>
      <c r="L113">
        <f t="shared" si="26"/>
        <v>3.630797999999487</v>
      </c>
      <c r="M113">
        <f t="shared" si="24"/>
        <v>0.37505012037559976</v>
      </c>
      <c r="N113">
        <f t="shared" si="27"/>
        <v>112.44379013457642</v>
      </c>
      <c r="O113">
        <f t="shared" si="28"/>
        <v>110.17472336153622</v>
      </c>
      <c r="P113">
        <f t="shared" si="29"/>
        <v>2.2690667730401923</v>
      </c>
      <c r="Q113">
        <f t="shared" si="30"/>
        <v>112.44379013457642</v>
      </c>
      <c r="R113" s="4"/>
    </row>
    <row r="114" spans="2:18" x14ac:dyDescent="0.3">
      <c r="B114">
        <f t="shared" si="31"/>
        <v>1.0000000000000007</v>
      </c>
      <c r="C114">
        <f t="shared" si="19"/>
        <v>2.0342697805519894E-4</v>
      </c>
      <c r="D114" s="6">
        <f t="shared" si="17"/>
        <v>0.57446808510638303</v>
      </c>
      <c r="E114" s="6">
        <f t="shared" si="25"/>
        <v>0.375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295.75000000000011</v>
      </c>
      <c r="L114">
        <f t="shared" si="26"/>
        <v>-4.25000000000054</v>
      </c>
      <c r="M114">
        <f t="shared" si="24"/>
        <v>0.37504101447681892</v>
      </c>
      <c r="N114">
        <f t="shared" si="27"/>
        <v>108.26230434304537</v>
      </c>
      <c r="O114">
        <f t="shared" si="28"/>
        <v>110.91838003151923</v>
      </c>
      <c r="P114">
        <f t="shared" si="29"/>
        <v>-2.656075688473857</v>
      </c>
      <c r="Q114">
        <f t="shared" si="30"/>
        <v>108.26230434304537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Graphs</vt:lpstr>
      <vt:lpstr>Scenario 5 - St1 0.4</vt:lpstr>
      <vt:lpstr>Scenario 5 - St1 0.5</vt:lpstr>
      <vt:lpstr>Scenario 5 - St1 0.5 P_j 0.25</vt:lpstr>
      <vt:lpstr>Scenario 6 - St1 0.4</vt:lpstr>
      <vt:lpstr>Scenario 6 - St1 0.5</vt:lpstr>
      <vt:lpstr>Scenario 6 - St1 0.5 - P_j 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 Djondjourov</dc:creator>
  <cp:lastModifiedBy>Atanas Djondjourov</cp:lastModifiedBy>
  <dcterms:created xsi:type="dcterms:W3CDTF">2025-07-11T12:42:42Z</dcterms:created>
  <dcterms:modified xsi:type="dcterms:W3CDTF">2026-05-12T13:11:51Z</dcterms:modified>
</cp:coreProperties>
</file>