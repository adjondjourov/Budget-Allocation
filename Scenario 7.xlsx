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b-my.sharepoint.com/personal/atanas_djondjourov_vub_be/Documents/Bureau/3. Research/3. Mil Budget/5. Analysis/20261205/"/>
    </mc:Choice>
  </mc:AlternateContent>
  <xr:revisionPtr revIDLastSave="220" documentId="13_ncr:1_{EE235978-E317-4B24-BEC9-8B92D3959FBA}" xr6:coauthVersionLast="47" xr6:coauthVersionMax="47" xr10:uidLastSave="{77EC1629-0D70-47F2-9E3E-75E2FBF8E51E}"/>
  <bookViews>
    <workbookView xWindow="-38520" yWindow="-15150" windowWidth="38640" windowHeight="21120" xr2:uid="{BD381C04-E667-4D30-A1E1-D71C22D15092}"/>
  </bookViews>
  <sheets>
    <sheet name="Graph" sheetId="29" r:id="rId1"/>
    <sheet name="Scenario 7" sheetId="24" r:id="rId2"/>
    <sheet name="Scenario 7a" sheetId="2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28" l="1"/>
  <c r="P15" i="28"/>
  <c r="O15" i="28"/>
  <c r="R10" i="28"/>
  <c r="E55" i="28"/>
  <c r="E50" i="28"/>
  <c r="B16" i="28"/>
  <c r="B17" i="28" s="1"/>
  <c r="H15" i="28"/>
  <c r="J15" i="28" s="1"/>
  <c r="G15" i="28"/>
  <c r="I15" i="28" s="1"/>
  <c r="F15" i="28"/>
  <c r="C15" i="28"/>
  <c r="G14" i="28"/>
  <c r="I14" i="28" s="1"/>
  <c r="F14" i="28"/>
  <c r="H14" i="28" s="1"/>
  <c r="C14" i="28"/>
  <c r="G10" i="28"/>
  <c r="E10" i="28"/>
  <c r="E41" i="28" s="1"/>
  <c r="D10" i="28"/>
  <c r="C10" i="28"/>
  <c r="E79" i="28" s="1"/>
  <c r="B10" i="28"/>
  <c r="G15" i="24"/>
  <c r="G14" i="24"/>
  <c r="B16" i="24"/>
  <c r="B17" i="24" s="1"/>
  <c r="G17" i="24" s="1"/>
  <c r="I15" i="24"/>
  <c r="F15" i="24"/>
  <c r="H15" i="24" s="1"/>
  <c r="C15" i="24"/>
  <c r="I14" i="24"/>
  <c r="F14" i="24"/>
  <c r="H14" i="24" s="1"/>
  <c r="J14" i="24" s="1"/>
  <c r="C14" i="24"/>
  <c r="G10" i="24"/>
  <c r="E10" i="24"/>
  <c r="D10" i="24"/>
  <c r="C10" i="24"/>
  <c r="B10" i="24"/>
  <c r="E18" i="28" l="1"/>
  <c r="J14" i="28"/>
  <c r="E32" i="28"/>
  <c r="D111" i="28"/>
  <c r="E91" i="28"/>
  <c r="E23" i="28"/>
  <c r="E29" i="28"/>
  <c r="E37" i="28"/>
  <c r="E74" i="28"/>
  <c r="E104" i="28"/>
  <c r="E110" i="28"/>
  <c r="E26" i="28"/>
  <c r="C16" i="24"/>
  <c r="F16" i="24"/>
  <c r="H16" i="24" s="1"/>
  <c r="K15" i="24"/>
  <c r="G16" i="24"/>
  <c r="I16" i="24" s="1"/>
  <c r="J16" i="24" s="1"/>
  <c r="K15" i="28"/>
  <c r="D64" i="28"/>
  <c r="D28" i="28"/>
  <c r="D29" i="28"/>
  <c r="D66" i="28"/>
  <c r="D70" i="28"/>
  <c r="D17" i="28"/>
  <c r="D76" i="28"/>
  <c r="L14" i="28"/>
  <c r="D23" i="28"/>
  <c r="D43" i="28"/>
  <c r="D100" i="28"/>
  <c r="D49" i="28"/>
  <c r="D103" i="28"/>
  <c r="D37" i="28"/>
  <c r="D19" i="28"/>
  <c r="D15" i="28"/>
  <c r="D24" i="28"/>
  <c r="D50" i="28"/>
  <c r="D26" i="28"/>
  <c r="D105" i="28"/>
  <c r="D55" i="28"/>
  <c r="B18" i="28"/>
  <c r="F17" i="28"/>
  <c r="H17" i="28" s="1"/>
  <c r="G17" i="28"/>
  <c r="I17" i="28" s="1"/>
  <c r="L17" i="28" s="1"/>
  <c r="C17" i="28"/>
  <c r="F16" i="28"/>
  <c r="H16" i="28" s="1"/>
  <c r="G16" i="28"/>
  <c r="I16" i="28" s="1"/>
  <c r="L16" i="28" s="1"/>
  <c r="C16" i="28"/>
  <c r="E114" i="28"/>
  <c r="E111" i="28"/>
  <c r="E108" i="28"/>
  <c r="E105" i="28"/>
  <c r="E102" i="28"/>
  <c r="E99" i="28"/>
  <c r="E96" i="28"/>
  <c r="E93" i="28"/>
  <c r="E90" i="28"/>
  <c r="E87" i="28"/>
  <c r="E84" i="28"/>
  <c r="E81" i="28"/>
  <c r="E78" i="28"/>
  <c r="E75" i="28"/>
  <c r="E72" i="28"/>
  <c r="E69" i="28"/>
  <c r="E66" i="28"/>
  <c r="E63" i="28"/>
  <c r="E60" i="28"/>
  <c r="E57" i="28"/>
  <c r="E54" i="28"/>
  <c r="E14" i="28"/>
  <c r="E112" i="28"/>
  <c r="E106" i="28"/>
  <c r="E100" i="28"/>
  <c r="E94" i="28"/>
  <c r="E88" i="28"/>
  <c r="E82" i="28"/>
  <c r="E76" i="28"/>
  <c r="E70" i="28"/>
  <c r="E64" i="28"/>
  <c r="E49" i="28"/>
  <c r="E40" i="28"/>
  <c r="E31" i="28"/>
  <c r="E22" i="28"/>
  <c r="E48" i="28"/>
  <c r="E39" i="28"/>
  <c r="E30" i="28"/>
  <c r="E21" i="28"/>
  <c r="E43" i="28"/>
  <c r="E34" i="28"/>
  <c r="E83" i="28"/>
  <c r="E59" i="28"/>
  <c r="E33" i="28"/>
  <c r="E107" i="28"/>
  <c r="E86" i="28"/>
  <c r="E62" i="28"/>
  <c r="E56" i="28"/>
  <c r="E53" i="28"/>
  <c r="E47" i="28"/>
  <c r="E46" i="28"/>
  <c r="E45" i="28"/>
  <c r="E97" i="28"/>
  <c r="E98" i="28"/>
  <c r="E67" i="28"/>
  <c r="E65" i="28"/>
  <c r="E89" i="28"/>
  <c r="E61" i="28"/>
  <c r="E101" i="28"/>
  <c r="E52" i="28"/>
  <c r="E44" i="28"/>
  <c r="E27" i="28"/>
  <c r="E15" i="28"/>
  <c r="E103" i="28"/>
  <c r="E80" i="28"/>
  <c r="E36" i="28"/>
  <c r="E16" i="28"/>
  <c r="E85" i="28"/>
  <c r="E73" i="28"/>
  <c r="E58" i="28"/>
  <c r="E51" i="28"/>
  <c r="E19" i="28"/>
  <c r="E92" i="28"/>
  <c r="E77" i="28"/>
  <c r="E68" i="28"/>
  <c r="E113" i="28"/>
  <c r="E42" i="28"/>
  <c r="E24" i="28"/>
  <c r="E20" i="28"/>
  <c r="E109" i="28"/>
  <c r="E38" i="28"/>
  <c r="E95" i="28"/>
  <c r="E35" i="28"/>
  <c r="E17" i="28"/>
  <c r="E71" i="28"/>
  <c r="E25" i="28"/>
  <c r="E28" i="28"/>
  <c r="D102" i="28"/>
  <c r="D99" i="28"/>
  <c r="D78" i="28"/>
  <c r="D75" i="28"/>
  <c r="D34" i="28"/>
  <c r="D33" i="28"/>
  <c r="D94" i="28"/>
  <c r="D90" i="28"/>
  <c r="D87" i="28"/>
  <c r="D109" i="28"/>
  <c r="D35" i="28"/>
  <c r="D14" i="28"/>
  <c r="M14" i="28" s="1"/>
  <c r="D106" i="28"/>
  <c r="D69" i="28"/>
  <c r="D54" i="28"/>
  <c r="D21" i="28"/>
  <c r="D84" i="28"/>
  <c r="D63" i="28"/>
  <c r="D61" i="28"/>
  <c r="D31" i="28"/>
  <c r="D96" i="28"/>
  <c r="D82" i="28"/>
  <c r="D52" i="28"/>
  <c r="D40" i="28"/>
  <c r="D22" i="28"/>
  <c r="D97" i="28"/>
  <c r="D81" i="28"/>
  <c r="D79" i="28"/>
  <c r="D47" i="28"/>
  <c r="D42" i="28"/>
  <c r="D112" i="28"/>
  <c r="D85" i="28"/>
  <c r="D73" i="28"/>
  <c r="D58" i="28"/>
  <c r="D72" i="28"/>
  <c r="D16" i="28"/>
  <c r="D51" i="28"/>
  <c r="D93" i="28"/>
  <c r="D60" i="28"/>
  <c r="D38" i="28"/>
  <c r="D46" i="28"/>
  <c r="D88" i="28"/>
  <c r="D57" i="28"/>
  <c r="D20" i="28"/>
  <c r="D25" i="28"/>
  <c r="D41" i="28"/>
  <c r="D113" i="28"/>
  <c r="D110" i="28"/>
  <c r="D107" i="28"/>
  <c r="D104" i="28"/>
  <c r="D101" i="28"/>
  <c r="D98" i="28"/>
  <c r="D95" i="28"/>
  <c r="D92" i="28"/>
  <c r="D89" i="28"/>
  <c r="D86" i="28"/>
  <c r="D83" i="28"/>
  <c r="D80" i="28"/>
  <c r="D77" i="28"/>
  <c r="D74" i="28"/>
  <c r="D71" i="28"/>
  <c r="D68" i="28"/>
  <c r="D65" i="28"/>
  <c r="D62" i="28"/>
  <c r="D59" i="28"/>
  <c r="D56" i="28"/>
  <c r="D53" i="28"/>
  <c r="D45" i="28"/>
  <c r="D36" i="28"/>
  <c r="D27" i="28"/>
  <c r="D18" i="28"/>
  <c r="D48" i="28"/>
  <c r="D39" i="28"/>
  <c r="D30" i="28"/>
  <c r="D114" i="28"/>
  <c r="D108" i="28"/>
  <c r="D32" i="28"/>
  <c r="D44" i="28"/>
  <c r="D67" i="28"/>
  <c r="D91" i="28"/>
  <c r="K14" i="28"/>
  <c r="L15" i="28"/>
  <c r="K14" i="24"/>
  <c r="K16" i="24"/>
  <c r="D39" i="24"/>
  <c r="E14" i="24"/>
  <c r="E40" i="24"/>
  <c r="D29" i="24"/>
  <c r="D33" i="24"/>
  <c r="D37" i="24"/>
  <c r="F17" i="24"/>
  <c r="H17" i="24" s="1"/>
  <c r="K17" i="24" s="1"/>
  <c r="C17" i="24"/>
  <c r="B18" i="24"/>
  <c r="G18" i="24" s="1"/>
  <c r="I17" i="24"/>
  <c r="L17" i="24" s="1"/>
  <c r="J15" i="24"/>
  <c r="D83" i="24"/>
  <c r="D81" i="24"/>
  <c r="D79" i="24"/>
  <c r="D77" i="24"/>
  <c r="D75" i="24"/>
  <c r="D73" i="24"/>
  <c r="D114" i="24"/>
  <c r="D113" i="24"/>
  <c r="D112" i="24"/>
  <c r="D111" i="24"/>
  <c r="D110" i="24"/>
  <c r="D109" i="24"/>
  <c r="D108" i="24"/>
  <c r="D107" i="24"/>
  <c r="D106" i="24"/>
  <c r="D105" i="24"/>
  <c r="D104" i="24"/>
  <c r="D103" i="24"/>
  <c r="D102" i="24"/>
  <c r="D101" i="24"/>
  <c r="D100" i="24"/>
  <c r="D99" i="24"/>
  <c r="D98" i="24"/>
  <c r="D97" i="24"/>
  <c r="D96" i="24"/>
  <c r="D95" i="24"/>
  <c r="D94" i="24"/>
  <c r="D93" i="24"/>
  <c r="D92" i="24"/>
  <c r="D91" i="24"/>
  <c r="D90" i="24"/>
  <c r="D89" i="24"/>
  <c r="D88" i="24"/>
  <c r="D87" i="24"/>
  <c r="D86" i="24"/>
  <c r="D85" i="24"/>
  <c r="D84" i="24"/>
  <c r="D82" i="24"/>
  <c r="D80" i="24"/>
  <c r="D78" i="24"/>
  <c r="D76" i="24"/>
  <c r="D74" i="24"/>
  <c r="D72" i="24"/>
  <c r="D68" i="24"/>
  <c r="D64" i="24"/>
  <c r="D62" i="24"/>
  <c r="D60" i="24"/>
  <c r="D58" i="24"/>
  <c r="D56" i="24"/>
  <c r="D54" i="24"/>
  <c r="D53" i="24"/>
  <c r="D52" i="24"/>
  <c r="D51" i="24"/>
  <c r="D50" i="24"/>
  <c r="D49" i="24"/>
  <c r="D48" i="24"/>
  <c r="D47" i="24"/>
  <c r="D46" i="24"/>
  <c r="D45" i="24"/>
  <c r="D44" i="24"/>
  <c r="D43" i="24"/>
  <c r="D42" i="24"/>
  <c r="D41" i="24"/>
  <c r="D40" i="24"/>
  <c r="D70" i="24"/>
  <c r="D66" i="24"/>
  <c r="D63" i="24"/>
  <c r="D61" i="24"/>
  <c r="D59" i="24"/>
  <c r="D57" i="24"/>
  <c r="D55" i="24"/>
  <c r="D69" i="24"/>
  <c r="D71" i="24"/>
  <c r="E52" i="24"/>
  <c r="E114" i="24"/>
  <c r="E113" i="24"/>
  <c r="E112" i="24"/>
  <c r="E111" i="24"/>
  <c r="E110" i="24"/>
  <c r="E109" i="24"/>
  <c r="E108" i="24"/>
  <c r="E107" i="24"/>
  <c r="E106" i="24"/>
  <c r="E105" i="24"/>
  <c r="E104" i="24"/>
  <c r="E103" i="24"/>
  <c r="E102" i="24"/>
  <c r="E101" i="24"/>
  <c r="E100" i="24"/>
  <c r="E99" i="24"/>
  <c r="E98" i="24"/>
  <c r="E97" i="24"/>
  <c r="E96" i="24"/>
  <c r="E95" i="24"/>
  <c r="E94" i="24"/>
  <c r="E93" i="24"/>
  <c r="E92" i="24"/>
  <c r="E91" i="24"/>
  <c r="E90" i="24"/>
  <c r="E89" i="24"/>
  <c r="E88" i="24"/>
  <c r="E87" i="24"/>
  <c r="E86" i="24"/>
  <c r="E85" i="24"/>
  <c r="E84" i="24"/>
  <c r="E83" i="24"/>
  <c r="E82" i="24"/>
  <c r="E81" i="24"/>
  <c r="E80" i="24"/>
  <c r="E79" i="24"/>
  <c r="E78" i="24"/>
  <c r="E77" i="24"/>
  <c r="E76" i="24"/>
  <c r="E75" i="24"/>
  <c r="E74" i="24"/>
  <c r="E73" i="24"/>
  <c r="E72" i="24"/>
  <c r="E71" i="24"/>
  <c r="E70" i="24"/>
  <c r="E69" i="24"/>
  <c r="E68" i="24"/>
  <c r="E67" i="24"/>
  <c r="E66" i="24"/>
  <c r="E65" i="24"/>
  <c r="E64" i="24"/>
  <c r="E63" i="24"/>
  <c r="E62" i="24"/>
  <c r="E61" i="24"/>
  <c r="E60" i="24"/>
  <c r="E59" i="24"/>
  <c r="E58" i="24"/>
  <c r="E57" i="24"/>
  <c r="E56" i="24"/>
  <c r="E55" i="24"/>
  <c r="E54" i="24"/>
  <c r="E49" i="24"/>
  <c r="E45" i="24"/>
  <c r="E41" i="24"/>
  <c r="E50" i="24"/>
  <c r="E46" i="24"/>
  <c r="E42" i="24"/>
  <c r="E53" i="24"/>
  <c r="E51" i="24"/>
  <c r="E47" i="24"/>
  <c r="E43" i="24"/>
  <c r="E39" i="24"/>
  <c r="E38" i="24"/>
  <c r="E37" i="24"/>
  <c r="E36" i="24"/>
  <c r="E35" i="24"/>
  <c r="E34" i="24"/>
  <c r="E33" i="24"/>
  <c r="E32" i="24"/>
  <c r="E31" i="24"/>
  <c r="E30" i="24"/>
  <c r="E29" i="24"/>
  <c r="E28" i="24"/>
  <c r="E27" i="24"/>
  <c r="D27" i="24"/>
  <c r="D28" i="24"/>
  <c r="D32" i="24"/>
  <c r="D36" i="24"/>
  <c r="E48" i="24"/>
  <c r="D67" i="24"/>
  <c r="D31" i="24"/>
  <c r="D35" i="24"/>
  <c r="D15" i="24"/>
  <c r="L15" i="24"/>
  <c r="D16" i="24"/>
  <c r="L16" i="24"/>
  <c r="D17" i="24"/>
  <c r="D18" i="24"/>
  <c r="D19" i="24"/>
  <c r="D20" i="24"/>
  <c r="D21" i="24"/>
  <c r="D22" i="24"/>
  <c r="D23" i="24"/>
  <c r="D24" i="24"/>
  <c r="D25" i="24"/>
  <c r="D26" i="24"/>
  <c r="D14" i="24"/>
  <c r="L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D30" i="24"/>
  <c r="D34" i="24"/>
  <c r="D38" i="24"/>
  <c r="E44" i="24"/>
  <c r="D65" i="24"/>
  <c r="M17" i="28" l="1"/>
  <c r="P17" i="28" s="1"/>
  <c r="M15" i="28"/>
  <c r="M16" i="28"/>
  <c r="J16" i="28"/>
  <c r="K16" i="28"/>
  <c r="N14" i="28"/>
  <c r="P14" i="28"/>
  <c r="O14" i="28"/>
  <c r="K17" i="28"/>
  <c r="J17" i="28"/>
  <c r="B19" i="28"/>
  <c r="C18" i="28"/>
  <c r="M18" i="28" s="1"/>
  <c r="G18" i="28"/>
  <c r="I18" i="28" s="1"/>
  <c r="L18" i="28" s="1"/>
  <c r="F18" i="28"/>
  <c r="H18" i="28" s="1"/>
  <c r="M14" i="24"/>
  <c r="O14" i="24" s="1"/>
  <c r="M16" i="24"/>
  <c r="N16" i="24" s="1"/>
  <c r="M15" i="24"/>
  <c r="N15" i="24" s="1"/>
  <c r="F18" i="24"/>
  <c r="H18" i="24" s="1"/>
  <c r="K18" i="24" s="1"/>
  <c r="C18" i="24"/>
  <c r="M18" i="24" s="1"/>
  <c r="B19" i="24"/>
  <c r="G19" i="24" s="1"/>
  <c r="I18" i="24"/>
  <c r="L18" i="24" s="1"/>
  <c r="M17" i="24"/>
  <c r="J17" i="24"/>
  <c r="O17" i="28" l="1"/>
  <c r="Q17" i="28" s="1"/>
  <c r="C6" i="29" s="1"/>
  <c r="Q15" i="28"/>
  <c r="C4" i="29" s="1"/>
  <c r="O16" i="28"/>
  <c r="Q14" i="28"/>
  <c r="C3" i="29" s="1"/>
  <c r="P18" i="28"/>
  <c r="N17" i="28"/>
  <c r="K18" i="28"/>
  <c r="O18" i="28" s="1"/>
  <c r="J18" i="28"/>
  <c r="N16" i="28"/>
  <c r="P16" i="28"/>
  <c r="B20" i="28"/>
  <c r="F19" i="28"/>
  <c r="H19" i="28" s="1"/>
  <c r="G19" i="28"/>
  <c r="I19" i="28" s="1"/>
  <c r="L19" i="28" s="1"/>
  <c r="C19" i="28"/>
  <c r="M19" i="28" s="1"/>
  <c r="P14" i="24"/>
  <c r="Q14" i="24" s="1"/>
  <c r="B3" i="29" s="1"/>
  <c r="N14" i="24"/>
  <c r="O15" i="24"/>
  <c r="O16" i="24"/>
  <c r="P16" i="24"/>
  <c r="P15" i="24"/>
  <c r="O17" i="24"/>
  <c r="N17" i="24"/>
  <c r="P17" i="24"/>
  <c r="F19" i="24"/>
  <c r="H19" i="24" s="1"/>
  <c r="K19" i="24" s="1"/>
  <c r="C19" i="24"/>
  <c r="M19" i="24" s="1"/>
  <c r="B20" i="24"/>
  <c r="G20" i="24" s="1"/>
  <c r="I19" i="24"/>
  <c r="L19" i="24" s="1"/>
  <c r="P18" i="24"/>
  <c r="O18" i="24"/>
  <c r="J18" i="24"/>
  <c r="Q16" i="28" l="1"/>
  <c r="C5" i="29" s="1"/>
  <c r="J19" i="28"/>
  <c r="K19" i="28"/>
  <c r="O19" i="28" s="1"/>
  <c r="B21" i="28"/>
  <c r="F20" i="28"/>
  <c r="H20" i="28" s="1"/>
  <c r="C20" i="28"/>
  <c r="M20" i="28" s="1"/>
  <c r="G20" i="28"/>
  <c r="I20" i="28" s="1"/>
  <c r="L20" i="28" s="1"/>
  <c r="N18" i="28"/>
  <c r="Q18" i="28"/>
  <c r="C7" i="29" s="1"/>
  <c r="P19" i="28"/>
  <c r="Q15" i="24"/>
  <c r="B4" i="29" s="1"/>
  <c r="Q16" i="24"/>
  <c r="B5" i="29" s="1"/>
  <c r="Q17" i="24"/>
  <c r="B6" i="29" s="1"/>
  <c r="Q18" i="24"/>
  <c r="B7" i="29" s="1"/>
  <c r="N18" i="24"/>
  <c r="F20" i="24"/>
  <c r="H20" i="24" s="1"/>
  <c r="K20" i="24" s="1"/>
  <c r="C20" i="24"/>
  <c r="M20" i="24" s="1"/>
  <c r="B21" i="24"/>
  <c r="G21" i="24" s="1"/>
  <c r="I20" i="24"/>
  <c r="L20" i="24" s="1"/>
  <c r="P19" i="24"/>
  <c r="O19" i="24"/>
  <c r="J19" i="24"/>
  <c r="Q19" i="28" l="1"/>
  <c r="C8" i="29" s="1"/>
  <c r="N19" i="28"/>
  <c r="P20" i="28"/>
  <c r="J20" i="28"/>
  <c r="K20" i="28"/>
  <c r="O20" i="28" s="1"/>
  <c r="B22" i="28"/>
  <c r="F21" i="28"/>
  <c r="H21" i="28" s="1"/>
  <c r="C21" i="28"/>
  <c r="M21" i="28" s="1"/>
  <c r="G21" i="28"/>
  <c r="I21" i="28" s="1"/>
  <c r="L21" i="28" s="1"/>
  <c r="Q19" i="24"/>
  <c r="B8" i="29" s="1"/>
  <c r="N19" i="24"/>
  <c r="F21" i="24"/>
  <c r="H21" i="24" s="1"/>
  <c r="K21" i="24" s="1"/>
  <c r="C21" i="24"/>
  <c r="M21" i="24" s="1"/>
  <c r="B22" i="24"/>
  <c r="G22" i="24" s="1"/>
  <c r="I21" i="24"/>
  <c r="L21" i="24" s="1"/>
  <c r="P20" i="24"/>
  <c r="O20" i="24"/>
  <c r="J20" i="24"/>
  <c r="Q20" i="28" l="1"/>
  <c r="C9" i="29" s="1"/>
  <c r="P21" i="28"/>
  <c r="K21" i="28"/>
  <c r="O21" i="28" s="1"/>
  <c r="J21" i="28"/>
  <c r="B23" i="28"/>
  <c r="G22" i="28"/>
  <c r="I22" i="28" s="1"/>
  <c r="L22" i="28" s="1"/>
  <c r="F22" i="28"/>
  <c r="H22" i="28" s="1"/>
  <c r="C22" i="28"/>
  <c r="M22" i="28" s="1"/>
  <c r="N20" i="28"/>
  <c r="P21" i="24"/>
  <c r="O21" i="24"/>
  <c r="J21" i="24"/>
  <c r="Q20" i="24"/>
  <c r="B9" i="29" s="1"/>
  <c r="F22" i="24"/>
  <c r="H22" i="24" s="1"/>
  <c r="K22" i="24" s="1"/>
  <c r="C22" i="24"/>
  <c r="M22" i="24" s="1"/>
  <c r="B23" i="24"/>
  <c r="G23" i="24" s="1"/>
  <c r="I22" i="24"/>
  <c r="L22" i="24" s="1"/>
  <c r="N20" i="24"/>
  <c r="N21" i="28" l="1"/>
  <c r="P22" i="28"/>
  <c r="J22" i="28"/>
  <c r="K22" i="28"/>
  <c r="O22" i="28" s="1"/>
  <c r="B24" i="28"/>
  <c r="F23" i="28"/>
  <c r="H23" i="28" s="1"/>
  <c r="G23" i="28"/>
  <c r="I23" i="28" s="1"/>
  <c r="L23" i="28" s="1"/>
  <c r="C23" i="28"/>
  <c r="M23" i="28" s="1"/>
  <c r="Q21" i="28"/>
  <c r="C10" i="29" s="1"/>
  <c r="Q21" i="24"/>
  <c r="B10" i="29" s="1"/>
  <c r="N21" i="24"/>
  <c r="F23" i="24"/>
  <c r="H23" i="24" s="1"/>
  <c r="K23" i="24" s="1"/>
  <c r="C23" i="24"/>
  <c r="M23" i="24" s="1"/>
  <c r="B24" i="24"/>
  <c r="G24" i="24" s="1"/>
  <c r="I23" i="24"/>
  <c r="L23" i="24" s="1"/>
  <c r="P22" i="24"/>
  <c r="O22" i="24"/>
  <c r="J22" i="24"/>
  <c r="N22" i="28" l="1"/>
  <c r="P23" i="28"/>
  <c r="K23" i="28"/>
  <c r="O23" i="28" s="1"/>
  <c r="J23" i="28"/>
  <c r="F24" i="28"/>
  <c r="H24" i="28" s="1"/>
  <c r="B25" i="28"/>
  <c r="G24" i="28"/>
  <c r="I24" i="28" s="1"/>
  <c r="L24" i="28" s="1"/>
  <c r="C24" i="28"/>
  <c r="M24" i="28" s="1"/>
  <c r="Q22" i="28"/>
  <c r="C11" i="29" s="1"/>
  <c r="F24" i="24"/>
  <c r="H24" i="24" s="1"/>
  <c r="K24" i="24" s="1"/>
  <c r="C24" i="24"/>
  <c r="M24" i="24" s="1"/>
  <c r="B25" i="24"/>
  <c r="G25" i="24" s="1"/>
  <c r="I24" i="24"/>
  <c r="L24" i="24" s="1"/>
  <c r="O23" i="24"/>
  <c r="J23" i="24"/>
  <c r="Q22" i="24"/>
  <c r="B11" i="29" s="1"/>
  <c r="P23" i="24"/>
  <c r="N22" i="24"/>
  <c r="Q23" i="28" l="1"/>
  <c r="C12" i="29" s="1"/>
  <c r="P24" i="28"/>
  <c r="F25" i="28"/>
  <c r="H25" i="28" s="1"/>
  <c r="B26" i="28"/>
  <c r="C25" i="28"/>
  <c r="M25" i="28" s="1"/>
  <c r="G25" i="28"/>
  <c r="I25" i="28" s="1"/>
  <c r="L25" i="28" s="1"/>
  <c r="K24" i="28"/>
  <c r="O24" i="28" s="1"/>
  <c r="J24" i="28"/>
  <c r="N23" i="28"/>
  <c r="P24" i="24"/>
  <c r="Q23" i="24"/>
  <c r="B12" i="29" s="1"/>
  <c r="O24" i="24"/>
  <c r="J24" i="24"/>
  <c r="N23" i="24"/>
  <c r="F25" i="24"/>
  <c r="H25" i="24" s="1"/>
  <c r="K25" i="24" s="1"/>
  <c r="I25" i="24"/>
  <c r="L25" i="24" s="1"/>
  <c r="C25" i="24"/>
  <c r="M25" i="24" s="1"/>
  <c r="B26" i="24"/>
  <c r="G26" i="24" s="1"/>
  <c r="B27" i="28" l="1"/>
  <c r="F26" i="28"/>
  <c r="H26" i="28" s="1"/>
  <c r="G26" i="28"/>
  <c r="I26" i="28" s="1"/>
  <c r="L26" i="28" s="1"/>
  <c r="C26" i="28"/>
  <c r="M26" i="28" s="1"/>
  <c r="J25" i="28"/>
  <c r="K25" i="28"/>
  <c r="O25" i="28" s="1"/>
  <c r="Q24" i="28"/>
  <c r="C13" i="29" s="1"/>
  <c r="P25" i="28"/>
  <c r="N24" i="28"/>
  <c r="N24" i="24"/>
  <c r="Q24" i="24"/>
  <c r="B13" i="29" s="1"/>
  <c r="P25" i="24"/>
  <c r="B27" i="24"/>
  <c r="G27" i="24" s="1"/>
  <c r="F26" i="24"/>
  <c r="H26" i="24" s="1"/>
  <c r="K26" i="24" s="1"/>
  <c r="C26" i="24"/>
  <c r="M26" i="24" s="1"/>
  <c r="I26" i="24"/>
  <c r="L26" i="24" s="1"/>
  <c r="O25" i="24"/>
  <c r="J25" i="24"/>
  <c r="N25" i="28" l="1"/>
  <c r="Q25" i="28"/>
  <c r="C14" i="29" s="1"/>
  <c r="P26" i="28"/>
  <c r="K26" i="28"/>
  <c r="O26" i="28" s="1"/>
  <c r="J26" i="28"/>
  <c r="G27" i="28"/>
  <c r="I27" i="28" s="1"/>
  <c r="L27" i="28" s="1"/>
  <c r="F27" i="28"/>
  <c r="H27" i="28" s="1"/>
  <c r="C27" i="28"/>
  <c r="M27" i="28" s="1"/>
  <c r="B28" i="28"/>
  <c r="N25" i="24"/>
  <c r="Q25" i="24"/>
  <c r="B14" i="29" s="1"/>
  <c r="P26" i="24"/>
  <c r="O26" i="24"/>
  <c r="J26" i="24"/>
  <c r="B28" i="24"/>
  <c r="G28" i="24" s="1"/>
  <c r="I27" i="24"/>
  <c r="L27" i="24" s="1"/>
  <c r="F27" i="24"/>
  <c r="H27" i="24" s="1"/>
  <c r="K27" i="24" s="1"/>
  <c r="C27" i="24"/>
  <c r="M27" i="24" s="1"/>
  <c r="G28" i="28" l="1"/>
  <c r="I28" i="28" s="1"/>
  <c r="L28" i="28" s="1"/>
  <c r="F28" i="28"/>
  <c r="H28" i="28" s="1"/>
  <c r="B29" i="28"/>
  <c r="C28" i="28"/>
  <c r="M28" i="28" s="1"/>
  <c r="P27" i="28"/>
  <c r="N26" i="28"/>
  <c r="K27" i="28"/>
  <c r="O27" i="28" s="1"/>
  <c r="J27" i="28"/>
  <c r="Q26" i="28"/>
  <c r="C15" i="29" s="1"/>
  <c r="N26" i="24"/>
  <c r="Q26" i="24"/>
  <c r="B15" i="29" s="1"/>
  <c r="P27" i="24"/>
  <c r="J27" i="24"/>
  <c r="O27" i="24"/>
  <c r="B29" i="24"/>
  <c r="G29" i="24" s="1"/>
  <c r="I28" i="24"/>
  <c r="L28" i="24" s="1"/>
  <c r="F28" i="24"/>
  <c r="H28" i="24" s="1"/>
  <c r="K28" i="24" s="1"/>
  <c r="C28" i="24"/>
  <c r="M28" i="24" s="1"/>
  <c r="Q27" i="28" l="1"/>
  <c r="C16" i="29" s="1"/>
  <c r="N27" i="28"/>
  <c r="P28" i="28"/>
  <c r="B30" i="28"/>
  <c r="F29" i="28"/>
  <c r="H29" i="28" s="1"/>
  <c r="G29" i="28"/>
  <c r="I29" i="28" s="1"/>
  <c r="L29" i="28" s="1"/>
  <c r="C29" i="28"/>
  <c r="M29" i="28" s="1"/>
  <c r="J28" i="28"/>
  <c r="K28" i="28"/>
  <c r="O28" i="28" s="1"/>
  <c r="N27" i="24"/>
  <c r="Q27" i="24"/>
  <c r="B16" i="29" s="1"/>
  <c r="P28" i="24"/>
  <c r="J28" i="24"/>
  <c r="O28" i="24"/>
  <c r="B30" i="24"/>
  <c r="G30" i="24" s="1"/>
  <c r="I29" i="24"/>
  <c r="L29" i="24" s="1"/>
  <c r="F29" i="24"/>
  <c r="H29" i="24" s="1"/>
  <c r="K29" i="24" s="1"/>
  <c r="C29" i="24"/>
  <c r="M29" i="24" s="1"/>
  <c r="P29" i="28" l="1"/>
  <c r="J29" i="28"/>
  <c r="K29" i="28"/>
  <c r="O29" i="28" s="1"/>
  <c r="B31" i="28"/>
  <c r="G30" i="28"/>
  <c r="I30" i="28" s="1"/>
  <c r="L30" i="28" s="1"/>
  <c r="F30" i="28"/>
  <c r="H30" i="28" s="1"/>
  <c r="C30" i="28"/>
  <c r="M30" i="28" s="1"/>
  <c r="Q28" i="28"/>
  <c r="C17" i="29" s="1"/>
  <c r="N28" i="28"/>
  <c r="N28" i="24"/>
  <c r="Q28" i="24"/>
  <c r="B17" i="29" s="1"/>
  <c r="P29" i="24"/>
  <c r="B31" i="24"/>
  <c r="G31" i="24" s="1"/>
  <c r="I30" i="24"/>
  <c r="L30" i="24" s="1"/>
  <c r="F30" i="24"/>
  <c r="H30" i="24" s="1"/>
  <c r="K30" i="24" s="1"/>
  <c r="C30" i="24"/>
  <c r="M30" i="24" s="1"/>
  <c r="J29" i="24"/>
  <c r="O29" i="24"/>
  <c r="Q29" i="28" l="1"/>
  <c r="C18" i="29" s="1"/>
  <c r="P30" i="28"/>
  <c r="K30" i="28"/>
  <c r="O30" i="28" s="1"/>
  <c r="J30" i="28"/>
  <c r="B32" i="28"/>
  <c r="C31" i="28"/>
  <c r="M31" i="28" s="1"/>
  <c r="G31" i="28"/>
  <c r="I31" i="28" s="1"/>
  <c r="L31" i="28" s="1"/>
  <c r="F31" i="28"/>
  <c r="H31" i="28" s="1"/>
  <c r="N29" i="28"/>
  <c r="N29" i="24"/>
  <c r="Q29" i="24"/>
  <c r="B18" i="29" s="1"/>
  <c r="P30" i="24"/>
  <c r="J30" i="24"/>
  <c r="O30" i="24"/>
  <c r="B32" i="24"/>
  <c r="G32" i="24" s="1"/>
  <c r="I31" i="24"/>
  <c r="L31" i="24" s="1"/>
  <c r="F31" i="24"/>
  <c r="H31" i="24" s="1"/>
  <c r="K31" i="24" s="1"/>
  <c r="C31" i="24"/>
  <c r="M31" i="24" s="1"/>
  <c r="J31" i="28" l="1"/>
  <c r="K31" i="28"/>
  <c r="O31" i="28" s="1"/>
  <c r="B33" i="28"/>
  <c r="F32" i="28"/>
  <c r="H32" i="28" s="1"/>
  <c r="C32" i="28"/>
  <c r="M32" i="28" s="1"/>
  <c r="G32" i="28"/>
  <c r="I32" i="28" s="1"/>
  <c r="L32" i="28" s="1"/>
  <c r="Q30" i="28"/>
  <c r="C19" i="29" s="1"/>
  <c r="P31" i="28"/>
  <c r="N30" i="28"/>
  <c r="N30" i="24"/>
  <c r="Q30" i="24"/>
  <c r="B19" i="29" s="1"/>
  <c r="P31" i="24"/>
  <c r="B33" i="24"/>
  <c r="G33" i="24" s="1"/>
  <c r="I32" i="24"/>
  <c r="L32" i="24" s="1"/>
  <c r="F32" i="24"/>
  <c r="H32" i="24" s="1"/>
  <c r="K32" i="24" s="1"/>
  <c r="C32" i="24"/>
  <c r="M32" i="24" s="1"/>
  <c r="J31" i="24"/>
  <c r="O31" i="24"/>
  <c r="Q31" i="28" l="1"/>
  <c r="C20" i="29" s="1"/>
  <c r="N31" i="28"/>
  <c r="P32" i="28"/>
  <c r="J32" i="28"/>
  <c r="K32" i="28"/>
  <c r="O32" i="28" s="1"/>
  <c r="F33" i="28"/>
  <c r="H33" i="28" s="1"/>
  <c r="C33" i="28"/>
  <c r="M33" i="28" s="1"/>
  <c r="G33" i="28"/>
  <c r="I33" i="28" s="1"/>
  <c r="L33" i="28" s="1"/>
  <c r="B34" i="28"/>
  <c r="Q31" i="24"/>
  <c r="B20" i="29" s="1"/>
  <c r="N31" i="24"/>
  <c r="P32" i="24"/>
  <c r="J32" i="24"/>
  <c r="O32" i="24"/>
  <c r="B34" i="24"/>
  <c r="G34" i="24" s="1"/>
  <c r="I33" i="24"/>
  <c r="L33" i="24" s="1"/>
  <c r="F33" i="24"/>
  <c r="H33" i="24" s="1"/>
  <c r="K33" i="24" s="1"/>
  <c r="C33" i="24"/>
  <c r="M33" i="24" s="1"/>
  <c r="Q32" i="28" l="1"/>
  <c r="C21" i="29" s="1"/>
  <c r="F34" i="28"/>
  <c r="H34" i="28" s="1"/>
  <c r="B35" i="28"/>
  <c r="G34" i="28"/>
  <c r="I34" i="28" s="1"/>
  <c r="L34" i="28" s="1"/>
  <c r="C34" i="28"/>
  <c r="M34" i="28" s="1"/>
  <c r="P33" i="28"/>
  <c r="K33" i="28"/>
  <c r="O33" i="28" s="1"/>
  <c r="J33" i="28"/>
  <c r="N32" i="28"/>
  <c r="Q32" i="24"/>
  <c r="B21" i="29" s="1"/>
  <c r="P33" i="24"/>
  <c r="J33" i="24"/>
  <c r="O33" i="24"/>
  <c r="B35" i="24"/>
  <c r="G35" i="24" s="1"/>
  <c r="I34" i="24"/>
  <c r="L34" i="24" s="1"/>
  <c r="F34" i="24"/>
  <c r="H34" i="24" s="1"/>
  <c r="K34" i="24" s="1"/>
  <c r="C34" i="24"/>
  <c r="M34" i="24" s="1"/>
  <c r="N32" i="24"/>
  <c r="Q33" i="28" l="1"/>
  <c r="C22" i="29" s="1"/>
  <c r="N33" i="28"/>
  <c r="P34" i="28"/>
  <c r="B36" i="28"/>
  <c r="F35" i="28"/>
  <c r="H35" i="28" s="1"/>
  <c r="G35" i="28"/>
  <c r="I35" i="28" s="1"/>
  <c r="L35" i="28" s="1"/>
  <c r="C35" i="28"/>
  <c r="M35" i="28" s="1"/>
  <c r="J34" i="28"/>
  <c r="K34" i="28"/>
  <c r="O34" i="28" s="1"/>
  <c r="N33" i="24"/>
  <c r="Q33" i="24"/>
  <c r="B22" i="29" s="1"/>
  <c r="P34" i="24"/>
  <c r="J34" i="24"/>
  <c r="O34" i="24"/>
  <c r="B36" i="24"/>
  <c r="G36" i="24" s="1"/>
  <c r="I35" i="24"/>
  <c r="L35" i="24" s="1"/>
  <c r="F35" i="24"/>
  <c r="H35" i="24" s="1"/>
  <c r="K35" i="24" s="1"/>
  <c r="C35" i="24"/>
  <c r="M35" i="24" s="1"/>
  <c r="P35" i="28" l="1"/>
  <c r="K35" i="28"/>
  <c r="O35" i="28" s="1"/>
  <c r="J35" i="28"/>
  <c r="G36" i="28"/>
  <c r="I36" i="28" s="1"/>
  <c r="L36" i="28" s="1"/>
  <c r="F36" i="28"/>
  <c r="H36" i="28" s="1"/>
  <c r="B37" i="28"/>
  <c r="C36" i="28"/>
  <c r="M36" i="28" s="1"/>
  <c r="N34" i="28"/>
  <c r="Q34" i="28"/>
  <c r="C23" i="29" s="1"/>
  <c r="P35" i="24"/>
  <c r="B37" i="24"/>
  <c r="G37" i="24" s="1"/>
  <c r="I36" i="24"/>
  <c r="L36" i="24" s="1"/>
  <c r="F36" i="24"/>
  <c r="H36" i="24" s="1"/>
  <c r="K36" i="24" s="1"/>
  <c r="C36" i="24"/>
  <c r="M36" i="24" s="1"/>
  <c r="J35" i="24"/>
  <c r="O35" i="24"/>
  <c r="Q34" i="24"/>
  <c r="B23" i="29" s="1"/>
  <c r="N34" i="24"/>
  <c r="Q35" i="28" l="1"/>
  <c r="C24" i="29" s="1"/>
  <c r="P36" i="28"/>
  <c r="G37" i="28"/>
  <c r="I37" i="28" s="1"/>
  <c r="L37" i="28" s="1"/>
  <c r="F37" i="28"/>
  <c r="H37" i="28" s="1"/>
  <c r="B38" i="28"/>
  <c r="C37" i="28"/>
  <c r="M37" i="28" s="1"/>
  <c r="J36" i="28"/>
  <c r="K36" i="28"/>
  <c r="O36" i="28" s="1"/>
  <c r="N35" i="28"/>
  <c r="P36" i="24"/>
  <c r="J36" i="24"/>
  <c r="O36" i="24"/>
  <c r="B38" i="24"/>
  <c r="G38" i="24" s="1"/>
  <c r="I37" i="24"/>
  <c r="L37" i="24" s="1"/>
  <c r="F37" i="24"/>
  <c r="H37" i="24" s="1"/>
  <c r="K37" i="24" s="1"/>
  <c r="C37" i="24"/>
  <c r="M37" i="24" s="1"/>
  <c r="Q35" i="24"/>
  <c r="B24" i="29" s="1"/>
  <c r="N35" i="24"/>
  <c r="N36" i="28" l="1"/>
  <c r="P37" i="28"/>
  <c r="B39" i="28"/>
  <c r="F38" i="28"/>
  <c r="H38" i="28" s="1"/>
  <c r="G38" i="28"/>
  <c r="I38" i="28" s="1"/>
  <c r="L38" i="28" s="1"/>
  <c r="C38" i="28"/>
  <c r="M38" i="28" s="1"/>
  <c r="J37" i="28"/>
  <c r="K37" i="28"/>
  <c r="O37" i="28" s="1"/>
  <c r="Q36" i="28"/>
  <c r="C25" i="29" s="1"/>
  <c r="P37" i="24"/>
  <c r="Q36" i="24"/>
  <c r="B25" i="29" s="1"/>
  <c r="J37" i="24"/>
  <c r="O37" i="24"/>
  <c r="B39" i="24"/>
  <c r="G39" i="24" s="1"/>
  <c r="I38" i="24"/>
  <c r="L38" i="24" s="1"/>
  <c r="F38" i="24"/>
  <c r="H38" i="24" s="1"/>
  <c r="K38" i="24" s="1"/>
  <c r="C38" i="24"/>
  <c r="M38" i="24" s="1"/>
  <c r="N36" i="24"/>
  <c r="N37" i="28" l="1"/>
  <c r="P38" i="28"/>
  <c r="J38" i="28"/>
  <c r="K38" i="28"/>
  <c r="O38" i="28" s="1"/>
  <c r="B40" i="28"/>
  <c r="C39" i="28"/>
  <c r="M39" i="28" s="1"/>
  <c r="G39" i="28"/>
  <c r="I39" i="28" s="1"/>
  <c r="L39" i="28" s="1"/>
  <c r="F39" i="28"/>
  <c r="H39" i="28" s="1"/>
  <c r="Q37" i="28"/>
  <c r="C26" i="29" s="1"/>
  <c r="J38" i="24"/>
  <c r="O38" i="24"/>
  <c r="B40" i="24"/>
  <c r="G40" i="24" s="1"/>
  <c r="I39" i="24"/>
  <c r="L39" i="24" s="1"/>
  <c r="F39" i="24"/>
  <c r="H39" i="24" s="1"/>
  <c r="K39" i="24" s="1"/>
  <c r="C39" i="24"/>
  <c r="M39" i="24" s="1"/>
  <c r="Q37" i="24"/>
  <c r="B26" i="29" s="1"/>
  <c r="P38" i="24"/>
  <c r="N37" i="24"/>
  <c r="Q38" i="28" l="1"/>
  <c r="C27" i="29" s="1"/>
  <c r="K39" i="28"/>
  <c r="O39" i="28" s="1"/>
  <c r="J39" i="28"/>
  <c r="P39" i="28"/>
  <c r="B41" i="28"/>
  <c r="G40" i="28"/>
  <c r="I40" i="28" s="1"/>
  <c r="L40" i="28" s="1"/>
  <c r="F40" i="28"/>
  <c r="H40" i="28" s="1"/>
  <c r="C40" i="28"/>
  <c r="M40" i="28" s="1"/>
  <c r="N38" i="28"/>
  <c r="N38" i="24"/>
  <c r="J39" i="24"/>
  <c r="O39" i="24"/>
  <c r="C40" i="24"/>
  <c r="M40" i="24" s="1"/>
  <c r="B41" i="24"/>
  <c r="G41" i="24" s="1"/>
  <c r="I40" i="24"/>
  <c r="L40" i="24" s="1"/>
  <c r="F40" i="24"/>
  <c r="H40" i="24" s="1"/>
  <c r="K40" i="24" s="1"/>
  <c r="P39" i="24"/>
  <c r="Q38" i="24"/>
  <c r="B27" i="29" s="1"/>
  <c r="P40" i="28" l="1"/>
  <c r="J40" i="28"/>
  <c r="K40" i="28"/>
  <c r="O40" i="28" s="1"/>
  <c r="B42" i="28"/>
  <c r="F41" i="28"/>
  <c r="H41" i="28" s="1"/>
  <c r="C41" i="28"/>
  <c r="M41" i="28" s="1"/>
  <c r="G41" i="28"/>
  <c r="I41" i="28" s="1"/>
  <c r="L41" i="28" s="1"/>
  <c r="Q39" i="28"/>
  <c r="C28" i="29" s="1"/>
  <c r="N39" i="28"/>
  <c r="Q39" i="24"/>
  <c r="B28" i="29" s="1"/>
  <c r="N39" i="24"/>
  <c r="J40" i="24"/>
  <c r="O40" i="24"/>
  <c r="F41" i="24"/>
  <c r="H41" i="24" s="1"/>
  <c r="K41" i="24" s="1"/>
  <c r="B42" i="24"/>
  <c r="G42" i="24" s="1"/>
  <c r="I41" i="24"/>
  <c r="L41" i="24" s="1"/>
  <c r="C41" i="24"/>
  <c r="M41" i="24" s="1"/>
  <c r="P40" i="24"/>
  <c r="P41" i="28" l="1"/>
  <c r="J41" i="28"/>
  <c r="K41" i="28"/>
  <c r="O41" i="28" s="1"/>
  <c r="B43" i="28"/>
  <c r="F42" i="28"/>
  <c r="H42" i="28" s="1"/>
  <c r="G42" i="28"/>
  <c r="I42" i="28" s="1"/>
  <c r="L42" i="28" s="1"/>
  <c r="C42" i="28"/>
  <c r="M42" i="28" s="1"/>
  <c r="Q40" i="28"/>
  <c r="C29" i="29" s="1"/>
  <c r="N40" i="28"/>
  <c r="N40" i="24"/>
  <c r="Q40" i="24"/>
  <c r="B29" i="29" s="1"/>
  <c r="P41" i="24"/>
  <c r="I42" i="24"/>
  <c r="L42" i="24" s="1"/>
  <c r="C42" i="24"/>
  <c r="M42" i="24" s="1"/>
  <c r="F42" i="24"/>
  <c r="H42" i="24" s="1"/>
  <c r="K42" i="24" s="1"/>
  <c r="B43" i="24"/>
  <c r="G43" i="24" s="1"/>
  <c r="J41" i="24"/>
  <c r="O41" i="24"/>
  <c r="P42" i="28" l="1"/>
  <c r="K42" i="28"/>
  <c r="O42" i="28" s="1"/>
  <c r="J42" i="28"/>
  <c r="F43" i="28"/>
  <c r="H43" i="28" s="1"/>
  <c r="B44" i="28"/>
  <c r="C43" i="28"/>
  <c r="M43" i="28" s="1"/>
  <c r="G43" i="28"/>
  <c r="I43" i="28" s="1"/>
  <c r="L43" i="28" s="1"/>
  <c r="N41" i="28"/>
  <c r="Q41" i="28"/>
  <c r="C30" i="29" s="1"/>
  <c r="B44" i="24"/>
  <c r="G44" i="24" s="1"/>
  <c r="I43" i="24"/>
  <c r="L43" i="24" s="1"/>
  <c r="F43" i="24"/>
  <c r="H43" i="24" s="1"/>
  <c r="K43" i="24" s="1"/>
  <c r="C43" i="24"/>
  <c r="M43" i="24" s="1"/>
  <c r="J42" i="24"/>
  <c r="O42" i="24"/>
  <c r="P42" i="24"/>
  <c r="Q42" i="24" s="1"/>
  <c r="B31" i="29" s="1"/>
  <c r="N42" i="24"/>
  <c r="Q41" i="24"/>
  <c r="B30" i="29" s="1"/>
  <c r="N41" i="24"/>
  <c r="N42" i="28" l="1"/>
  <c r="P43" i="28"/>
  <c r="B45" i="28"/>
  <c r="F44" i="28"/>
  <c r="H44" i="28" s="1"/>
  <c r="G44" i="28"/>
  <c r="I44" i="28" s="1"/>
  <c r="L44" i="28" s="1"/>
  <c r="C44" i="28"/>
  <c r="M44" i="28" s="1"/>
  <c r="J43" i="28"/>
  <c r="K43" i="28"/>
  <c r="O43" i="28" s="1"/>
  <c r="Q42" i="28"/>
  <c r="C31" i="29" s="1"/>
  <c r="P43" i="24"/>
  <c r="J43" i="24"/>
  <c r="O43" i="24"/>
  <c r="C44" i="24"/>
  <c r="M44" i="24" s="1"/>
  <c r="B45" i="24"/>
  <c r="G45" i="24" s="1"/>
  <c r="I44" i="24"/>
  <c r="L44" i="24" s="1"/>
  <c r="F44" i="24"/>
  <c r="H44" i="24" s="1"/>
  <c r="K44" i="24" s="1"/>
  <c r="Q43" i="28" l="1"/>
  <c r="C32" i="29" s="1"/>
  <c r="P44" i="28"/>
  <c r="K44" i="28"/>
  <c r="O44" i="28" s="1"/>
  <c r="J44" i="28"/>
  <c r="F45" i="28"/>
  <c r="H45" i="28" s="1"/>
  <c r="B46" i="28"/>
  <c r="G45" i="28"/>
  <c r="I45" i="28" s="1"/>
  <c r="L45" i="28" s="1"/>
  <c r="C45" i="28"/>
  <c r="M45" i="28" s="1"/>
  <c r="N43" i="28"/>
  <c r="P44" i="24"/>
  <c r="J44" i="24"/>
  <c r="O44" i="24"/>
  <c r="F45" i="24"/>
  <c r="H45" i="24" s="1"/>
  <c r="K45" i="24" s="1"/>
  <c r="B46" i="24"/>
  <c r="G46" i="24" s="1"/>
  <c r="I45" i="24"/>
  <c r="L45" i="24" s="1"/>
  <c r="C45" i="24"/>
  <c r="M45" i="24" s="1"/>
  <c r="N43" i="24"/>
  <c r="Q43" i="24"/>
  <c r="B32" i="29" s="1"/>
  <c r="P45" i="28" l="1"/>
  <c r="F46" i="28"/>
  <c r="H46" i="28" s="1"/>
  <c r="G46" i="28"/>
  <c r="I46" i="28" s="1"/>
  <c r="L46" i="28" s="1"/>
  <c r="B47" i="28"/>
  <c r="C46" i="28"/>
  <c r="M46" i="28" s="1"/>
  <c r="K45" i="28"/>
  <c r="O45" i="28" s="1"/>
  <c r="J45" i="28"/>
  <c r="N44" i="28"/>
  <c r="Q44" i="28"/>
  <c r="C33" i="29" s="1"/>
  <c r="I46" i="24"/>
  <c r="L46" i="24" s="1"/>
  <c r="C46" i="24"/>
  <c r="M46" i="24" s="1"/>
  <c r="B47" i="24"/>
  <c r="G47" i="24" s="1"/>
  <c r="F46" i="24"/>
  <c r="H46" i="24" s="1"/>
  <c r="K46" i="24" s="1"/>
  <c r="J45" i="24"/>
  <c r="O45" i="24"/>
  <c r="N45" i="24"/>
  <c r="P45" i="24"/>
  <c r="Q45" i="24" s="1"/>
  <c r="B34" i="29" s="1"/>
  <c r="N44" i="24"/>
  <c r="Q44" i="24"/>
  <c r="B33" i="29" s="1"/>
  <c r="P46" i="28" l="1"/>
  <c r="B48" i="28"/>
  <c r="F47" i="28"/>
  <c r="H47" i="28" s="1"/>
  <c r="G47" i="28"/>
  <c r="I47" i="28" s="1"/>
  <c r="L47" i="28" s="1"/>
  <c r="C47" i="28"/>
  <c r="M47" i="28" s="1"/>
  <c r="J46" i="28"/>
  <c r="K46" i="28"/>
  <c r="O46" i="28" s="1"/>
  <c r="Q45" i="28"/>
  <c r="C34" i="29" s="1"/>
  <c r="N45" i="28"/>
  <c r="J46" i="24"/>
  <c r="O46" i="24"/>
  <c r="B48" i="24"/>
  <c r="G48" i="24" s="1"/>
  <c r="I47" i="24"/>
  <c r="L47" i="24" s="1"/>
  <c r="F47" i="24"/>
  <c r="H47" i="24" s="1"/>
  <c r="K47" i="24" s="1"/>
  <c r="C47" i="24"/>
  <c r="M47" i="24" s="1"/>
  <c r="P46" i="24"/>
  <c r="P47" i="28" l="1"/>
  <c r="J47" i="28"/>
  <c r="K47" i="28"/>
  <c r="O47" i="28" s="1"/>
  <c r="B49" i="28"/>
  <c r="F48" i="28"/>
  <c r="H48" i="28" s="1"/>
  <c r="C48" i="28"/>
  <c r="M48" i="28" s="1"/>
  <c r="G48" i="28"/>
  <c r="I48" i="28" s="1"/>
  <c r="L48" i="28" s="1"/>
  <c r="Q46" i="28"/>
  <c r="C35" i="29" s="1"/>
  <c r="N46" i="28"/>
  <c r="Q46" i="24"/>
  <c r="B35" i="29" s="1"/>
  <c r="N46" i="24"/>
  <c r="P47" i="24"/>
  <c r="C48" i="24"/>
  <c r="M48" i="24" s="1"/>
  <c r="B49" i="24"/>
  <c r="G49" i="24" s="1"/>
  <c r="I48" i="24"/>
  <c r="L48" i="24" s="1"/>
  <c r="F48" i="24"/>
  <c r="H48" i="24" s="1"/>
  <c r="K48" i="24" s="1"/>
  <c r="J47" i="24"/>
  <c r="O47" i="24"/>
  <c r="P48" i="28" l="1"/>
  <c r="J48" i="28"/>
  <c r="K48" i="28"/>
  <c r="O48" i="28" s="1"/>
  <c r="B50" i="28"/>
  <c r="G49" i="28"/>
  <c r="I49" i="28" s="1"/>
  <c r="L49" i="28" s="1"/>
  <c r="F49" i="28"/>
  <c r="H49" i="28" s="1"/>
  <c r="C49" i="28"/>
  <c r="M49" i="28" s="1"/>
  <c r="N47" i="28"/>
  <c r="Q47" i="28"/>
  <c r="C36" i="29" s="1"/>
  <c r="J48" i="24"/>
  <c r="O48" i="24"/>
  <c r="F49" i="24"/>
  <c r="H49" i="24" s="1"/>
  <c r="K49" i="24" s="1"/>
  <c r="B50" i="24"/>
  <c r="G50" i="24" s="1"/>
  <c r="I49" i="24"/>
  <c r="L49" i="24" s="1"/>
  <c r="C49" i="24"/>
  <c r="M49" i="24" s="1"/>
  <c r="P48" i="24"/>
  <c r="N47" i="24"/>
  <c r="Q47" i="24"/>
  <c r="B36" i="29" s="1"/>
  <c r="P49" i="28" l="1"/>
  <c r="J49" i="28"/>
  <c r="K49" i="28"/>
  <c r="O49" i="28" s="1"/>
  <c r="B51" i="28"/>
  <c r="F50" i="28"/>
  <c r="H50" i="28" s="1"/>
  <c r="C50" i="28"/>
  <c r="M50" i="28" s="1"/>
  <c r="G50" i="28"/>
  <c r="I50" i="28" s="1"/>
  <c r="L50" i="28" s="1"/>
  <c r="Q48" i="28"/>
  <c r="C37" i="29" s="1"/>
  <c r="N48" i="28"/>
  <c r="Q48" i="24"/>
  <c r="B37" i="29" s="1"/>
  <c r="N48" i="24"/>
  <c r="P49" i="24"/>
  <c r="I50" i="24"/>
  <c r="L50" i="24" s="1"/>
  <c r="C50" i="24"/>
  <c r="M50" i="24" s="1"/>
  <c r="F50" i="24"/>
  <c r="H50" i="24" s="1"/>
  <c r="K50" i="24" s="1"/>
  <c r="B51" i="24"/>
  <c r="G51" i="24" s="1"/>
  <c r="J49" i="24"/>
  <c r="O49" i="24"/>
  <c r="J50" i="28" l="1"/>
  <c r="K50" i="28"/>
  <c r="O50" i="28" s="1"/>
  <c r="P50" i="28"/>
  <c r="B52" i="28"/>
  <c r="F51" i="28"/>
  <c r="H51" i="28" s="1"/>
  <c r="C51" i="28"/>
  <c r="M51" i="28" s="1"/>
  <c r="G51" i="28"/>
  <c r="I51" i="28" s="1"/>
  <c r="L51" i="28" s="1"/>
  <c r="Q49" i="28"/>
  <c r="C38" i="29" s="1"/>
  <c r="N49" i="28"/>
  <c r="J50" i="24"/>
  <c r="O50" i="24"/>
  <c r="P50" i="24"/>
  <c r="N50" i="24"/>
  <c r="B52" i="24"/>
  <c r="G52" i="24" s="1"/>
  <c r="I51" i="24"/>
  <c r="L51" i="24" s="1"/>
  <c r="F51" i="24"/>
  <c r="H51" i="24" s="1"/>
  <c r="K51" i="24" s="1"/>
  <c r="C51" i="24"/>
  <c r="M51" i="24" s="1"/>
  <c r="Q49" i="24"/>
  <c r="B38" i="29" s="1"/>
  <c r="N49" i="24"/>
  <c r="N50" i="28" l="1"/>
  <c r="Q50" i="28"/>
  <c r="C39" i="29" s="1"/>
  <c r="P51" i="28"/>
  <c r="J51" i="28"/>
  <c r="K51" i="28"/>
  <c r="O51" i="28" s="1"/>
  <c r="G52" i="28"/>
  <c r="I52" i="28" s="1"/>
  <c r="L52" i="28" s="1"/>
  <c r="F52" i="28"/>
  <c r="H52" i="28" s="1"/>
  <c r="B53" i="28"/>
  <c r="C52" i="28"/>
  <c r="M52" i="28" s="1"/>
  <c r="Q50" i="24"/>
  <c r="B39" i="29" s="1"/>
  <c r="J51" i="24"/>
  <c r="O51" i="24"/>
  <c r="P51" i="24"/>
  <c r="C52" i="24"/>
  <c r="M52" i="24" s="1"/>
  <c r="I52" i="24"/>
  <c r="L52" i="24" s="1"/>
  <c r="B53" i="24"/>
  <c r="G53" i="24" s="1"/>
  <c r="F52" i="24"/>
  <c r="H52" i="24" s="1"/>
  <c r="K52" i="24" s="1"/>
  <c r="Q51" i="28" l="1"/>
  <c r="C40" i="29" s="1"/>
  <c r="P52" i="28"/>
  <c r="G53" i="28"/>
  <c r="I53" i="28" s="1"/>
  <c r="L53" i="28" s="1"/>
  <c r="F53" i="28"/>
  <c r="H53" i="28" s="1"/>
  <c r="B54" i="28"/>
  <c r="C53" i="28"/>
  <c r="M53" i="28" s="1"/>
  <c r="J52" i="28"/>
  <c r="K52" i="28"/>
  <c r="O52" i="28" s="1"/>
  <c r="N51" i="28"/>
  <c r="N51" i="24"/>
  <c r="Q51" i="24"/>
  <c r="B40" i="29" s="1"/>
  <c r="P52" i="24"/>
  <c r="J52" i="24"/>
  <c r="O52" i="24"/>
  <c r="I53" i="24"/>
  <c r="L53" i="24" s="1"/>
  <c r="F53" i="24"/>
  <c r="H53" i="24" s="1"/>
  <c r="K53" i="24" s="1"/>
  <c r="B54" i="24"/>
  <c r="G54" i="24" s="1"/>
  <c r="C53" i="24"/>
  <c r="M53" i="24" s="1"/>
  <c r="P53" i="28" l="1"/>
  <c r="C54" i="28"/>
  <c r="M54" i="28" s="1"/>
  <c r="F54" i="28"/>
  <c r="H54" i="28" s="1"/>
  <c r="G54" i="28"/>
  <c r="I54" i="28" s="1"/>
  <c r="L54" i="28" s="1"/>
  <c r="B55" i="28"/>
  <c r="J53" i="28"/>
  <c r="K53" i="28"/>
  <c r="O53" i="28" s="1"/>
  <c r="N52" i="28"/>
  <c r="Q52" i="28"/>
  <c r="C41" i="29" s="1"/>
  <c r="P53" i="24"/>
  <c r="J53" i="24"/>
  <c r="O53" i="24"/>
  <c r="F54" i="24"/>
  <c r="H54" i="24" s="1"/>
  <c r="K54" i="24" s="1"/>
  <c r="I54" i="24"/>
  <c r="L54" i="24" s="1"/>
  <c r="C54" i="24"/>
  <c r="M54" i="24" s="1"/>
  <c r="B55" i="24"/>
  <c r="G55" i="24" s="1"/>
  <c r="N52" i="24"/>
  <c r="Q52" i="24"/>
  <c r="B41" i="29" s="1"/>
  <c r="C55" i="28" l="1"/>
  <c r="M55" i="28" s="1"/>
  <c r="B56" i="28"/>
  <c r="G55" i="28"/>
  <c r="I55" i="28" s="1"/>
  <c r="L55" i="28" s="1"/>
  <c r="F55" i="28"/>
  <c r="H55" i="28" s="1"/>
  <c r="J54" i="28"/>
  <c r="K54" i="28"/>
  <c r="O54" i="28" s="1"/>
  <c r="P54" i="28"/>
  <c r="N54" i="28"/>
  <c r="N53" i="28"/>
  <c r="Q53" i="28"/>
  <c r="C42" i="29" s="1"/>
  <c r="F55" i="24"/>
  <c r="H55" i="24" s="1"/>
  <c r="K55" i="24" s="1"/>
  <c r="I55" i="24"/>
  <c r="L55" i="24" s="1"/>
  <c r="C55" i="24"/>
  <c r="M55" i="24" s="1"/>
  <c r="B56" i="24"/>
  <c r="G56" i="24" s="1"/>
  <c r="J54" i="24"/>
  <c r="O54" i="24"/>
  <c r="N53" i="24"/>
  <c r="N54" i="24"/>
  <c r="P54" i="24"/>
  <c r="Q53" i="24"/>
  <c r="B42" i="29" s="1"/>
  <c r="Q54" i="28" l="1"/>
  <c r="C43" i="29" s="1"/>
  <c r="J55" i="28"/>
  <c r="K55" i="28"/>
  <c r="O55" i="28" s="1"/>
  <c r="G56" i="28"/>
  <c r="I56" i="28" s="1"/>
  <c r="L56" i="28" s="1"/>
  <c r="C56" i="28"/>
  <c r="M56" i="28" s="1"/>
  <c r="F56" i="28"/>
  <c r="H56" i="28" s="1"/>
  <c r="B57" i="28"/>
  <c r="P55" i="28"/>
  <c r="Q55" i="28" s="1"/>
  <c r="C44" i="29" s="1"/>
  <c r="N55" i="28"/>
  <c r="F56" i="24"/>
  <c r="H56" i="24" s="1"/>
  <c r="K56" i="24" s="1"/>
  <c r="I56" i="24"/>
  <c r="L56" i="24" s="1"/>
  <c r="C56" i="24"/>
  <c r="M56" i="24" s="1"/>
  <c r="B57" i="24"/>
  <c r="G57" i="24" s="1"/>
  <c r="P55" i="24"/>
  <c r="Q54" i="24"/>
  <c r="B43" i="29" s="1"/>
  <c r="J55" i="24"/>
  <c r="O55" i="24"/>
  <c r="C57" i="28" l="1"/>
  <c r="M57" i="28" s="1"/>
  <c r="F57" i="28"/>
  <c r="H57" i="28" s="1"/>
  <c r="B58" i="28"/>
  <c r="G57" i="28"/>
  <c r="I57" i="28" s="1"/>
  <c r="L57" i="28" s="1"/>
  <c r="J56" i="28"/>
  <c r="K56" i="28"/>
  <c r="O56" i="28" s="1"/>
  <c r="P56" i="28"/>
  <c r="Q55" i="24"/>
  <c r="B44" i="29" s="1"/>
  <c r="N55" i="24"/>
  <c r="F57" i="24"/>
  <c r="H57" i="24" s="1"/>
  <c r="K57" i="24" s="1"/>
  <c r="I57" i="24"/>
  <c r="L57" i="24" s="1"/>
  <c r="C57" i="24"/>
  <c r="M57" i="24" s="1"/>
  <c r="B58" i="24"/>
  <c r="G58" i="24" s="1"/>
  <c r="P56" i="24"/>
  <c r="J56" i="24"/>
  <c r="O56" i="24"/>
  <c r="N56" i="28" l="1"/>
  <c r="Q56" i="28"/>
  <c r="C45" i="29" s="1"/>
  <c r="P57" i="28"/>
  <c r="F58" i="28"/>
  <c r="H58" i="28" s="1"/>
  <c r="C58" i="28"/>
  <c r="M58" i="28" s="1"/>
  <c r="B59" i="28"/>
  <c r="G58" i="28"/>
  <c r="I58" i="28" s="1"/>
  <c r="L58" i="28" s="1"/>
  <c r="K57" i="28"/>
  <c r="O57" i="28" s="1"/>
  <c r="J57" i="28"/>
  <c r="Q56" i="24"/>
  <c r="B45" i="29" s="1"/>
  <c r="N56" i="24"/>
  <c r="F58" i="24"/>
  <c r="H58" i="24" s="1"/>
  <c r="K58" i="24" s="1"/>
  <c r="I58" i="24"/>
  <c r="L58" i="24" s="1"/>
  <c r="B59" i="24"/>
  <c r="G59" i="24" s="1"/>
  <c r="C58" i="24"/>
  <c r="M58" i="24" s="1"/>
  <c r="P57" i="24"/>
  <c r="J57" i="24"/>
  <c r="O57" i="24"/>
  <c r="G59" i="28" l="1"/>
  <c r="I59" i="28" s="1"/>
  <c r="L59" i="28" s="1"/>
  <c r="C59" i="28"/>
  <c r="M59" i="28" s="1"/>
  <c r="F59" i="28"/>
  <c r="H59" i="28" s="1"/>
  <c r="B60" i="28"/>
  <c r="P58" i="28"/>
  <c r="J58" i="28"/>
  <c r="K58" i="28"/>
  <c r="O58" i="28" s="1"/>
  <c r="N57" i="28"/>
  <c r="Q57" i="28"/>
  <c r="C46" i="29" s="1"/>
  <c r="Q57" i="24"/>
  <c r="B46" i="29" s="1"/>
  <c r="N57" i="24"/>
  <c r="F59" i="24"/>
  <c r="H59" i="24" s="1"/>
  <c r="K59" i="24" s="1"/>
  <c r="I59" i="24"/>
  <c r="L59" i="24" s="1"/>
  <c r="B60" i="24"/>
  <c r="G60" i="24" s="1"/>
  <c r="C59" i="24"/>
  <c r="M59" i="24" s="1"/>
  <c r="P58" i="24"/>
  <c r="J58" i="24"/>
  <c r="O58" i="24"/>
  <c r="N58" i="28" l="1"/>
  <c r="Q58" i="28"/>
  <c r="C47" i="29" s="1"/>
  <c r="C60" i="28"/>
  <c r="M60" i="28" s="1"/>
  <c r="G60" i="28"/>
  <c r="I60" i="28" s="1"/>
  <c r="L60" i="28" s="1"/>
  <c r="F60" i="28"/>
  <c r="H60" i="28" s="1"/>
  <c r="B61" i="28"/>
  <c r="K59" i="28"/>
  <c r="O59" i="28" s="1"/>
  <c r="J59" i="28"/>
  <c r="P59" i="28"/>
  <c r="N59" i="28"/>
  <c r="Q58" i="24"/>
  <c r="B47" i="29" s="1"/>
  <c r="N58" i="24"/>
  <c r="P59" i="24"/>
  <c r="F60" i="24"/>
  <c r="H60" i="24" s="1"/>
  <c r="K60" i="24" s="1"/>
  <c r="B61" i="24"/>
  <c r="G61" i="24" s="1"/>
  <c r="I60" i="24"/>
  <c r="L60" i="24" s="1"/>
  <c r="C60" i="24"/>
  <c r="M60" i="24" s="1"/>
  <c r="J59" i="24"/>
  <c r="O59" i="24"/>
  <c r="Q59" i="28" l="1"/>
  <c r="C48" i="29" s="1"/>
  <c r="G61" i="28"/>
  <c r="I61" i="28" s="1"/>
  <c r="L61" i="28" s="1"/>
  <c r="F61" i="28"/>
  <c r="H61" i="28" s="1"/>
  <c r="C61" i="28"/>
  <c r="M61" i="28" s="1"/>
  <c r="B62" i="28"/>
  <c r="J60" i="28"/>
  <c r="K60" i="28"/>
  <c r="O60" i="28" s="1"/>
  <c r="P60" i="28"/>
  <c r="Q59" i="24"/>
  <c r="B48" i="29" s="1"/>
  <c r="J60" i="24"/>
  <c r="O60" i="24"/>
  <c r="P60" i="24"/>
  <c r="N59" i="24"/>
  <c r="F61" i="24"/>
  <c r="H61" i="24" s="1"/>
  <c r="K61" i="24" s="1"/>
  <c r="I61" i="24"/>
  <c r="L61" i="24" s="1"/>
  <c r="B62" i="24"/>
  <c r="G62" i="24" s="1"/>
  <c r="C61" i="24"/>
  <c r="M61" i="24" s="1"/>
  <c r="N60" i="28" l="1"/>
  <c r="Q60" i="28"/>
  <c r="C49" i="29" s="1"/>
  <c r="G62" i="28"/>
  <c r="I62" i="28" s="1"/>
  <c r="L62" i="28" s="1"/>
  <c r="B63" i="28"/>
  <c r="F62" i="28"/>
  <c r="H62" i="28" s="1"/>
  <c r="C62" i="28"/>
  <c r="M62" i="28" s="1"/>
  <c r="P61" i="28"/>
  <c r="J61" i="28"/>
  <c r="K61" i="28"/>
  <c r="O61" i="28" s="1"/>
  <c r="Q60" i="24"/>
  <c r="B49" i="29" s="1"/>
  <c r="N60" i="24"/>
  <c r="J61" i="24"/>
  <c r="O61" i="24"/>
  <c r="F62" i="24"/>
  <c r="H62" i="24" s="1"/>
  <c r="K62" i="24" s="1"/>
  <c r="C62" i="24"/>
  <c r="M62" i="24" s="1"/>
  <c r="B63" i="24"/>
  <c r="G63" i="24" s="1"/>
  <c r="I62" i="24"/>
  <c r="L62" i="24" s="1"/>
  <c r="N61" i="24"/>
  <c r="P61" i="24"/>
  <c r="Q61" i="28" l="1"/>
  <c r="C50" i="29" s="1"/>
  <c r="J62" i="28"/>
  <c r="K62" i="28"/>
  <c r="O62" i="28" s="1"/>
  <c r="N61" i="28"/>
  <c r="P62" i="28"/>
  <c r="C63" i="28"/>
  <c r="M63" i="28" s="1"/>
  <c r="B64" i="28"/>
  <c r="G63" i="28"/>
  <c r="I63" i="28" s="1"/>
  <c r="L63" i="28" s="1"/>
  <c r="F63" i="28"/>
  <c r="H63" i="28" s="1"/>
  <c r="Q61" i="24"/>
  <c r="B50" i="29" s="1"/>
  <c r="J62" i="24"/>
  <c r="O62" i="24"/>
  <c r="F63" i="24"/>
  <c r="H63" i="24" s="1"/>
  <c r="K63" i="24" s="1"/>
  <c r="I63" i="24"/>
  <c r="L63" i="24" s="1"/>
  <c r="C63" i="24"/>
  <c r="M63" i="24" s="1"/>
  <c r="B64" i="24"/>
  <c r="G64" i="24" s="1"/>
  <c r="N62" i="24"/>
  <c r="P62" i="24"/>
  <c r="Q62" i="28" l="1"/>
  <c r="C51" i="29" s="1"/>
  <c r="N62" i="28"/>
  <c r="K63" i="28"/>
  <c r="O63" i="28" s="1"/>
  <c r="J63" i="28"/>
  <c r="B65" i="28"/>
  <c r="C64" i="28"/>
  <c r="M64" i="28" s="1"/>
  <c r="G64" i="28"/>
  <c r="I64" i="28" s="1"/>
  <c r="L64" i="28" s="1"/>
  <c r="F64" i="28"/>
  <c r="H64" i="28" s="1"/>
  <c r="P63" i="28"/>
  <c r="Q63" i="28" s="1"/>
  <c r="C52" i="29" s="1"/>
  <c r="Q62" i="24"/>
  <c r="B51" i="29" s="1"/>
  <c r="F64" i="24"/>
  <c r="H64" i="24" s="1"/>
  <c r="K64" i="24" s="1"/>
  <c r="B65" i="24"/>
  <c r="G65" i="24" s="1"/>
  <c r="I64" i="24"/>
  <c r="L64" i="24" s="1"/>
  <c r="C64" i="24"/>
  <c r="M64" i="24" s="1"/>
  <c r="J63" i="24"/>
  <c r="O63" i="24"/>
  <c r="N63" i="24"/>
  <c r="P63" i="24"/>
  <c r="N63" i="28" l="1"/>
  <c r="P64" i="28"/>
  <c r="G65" i="28"/>
  <c r="I65" i="28" s="1"/>
  <c r="L65" i="28" s="1"/>
  <c r="C65" i="28"/>
  <c r="M65" i="28" s="1"/>
  <c r="F65" i="28"/>
  <c r="H65" i="28" s="1"/>
  <c r="B66" i="28"/>
  <c r="J64" i="28"/>
  <c r="K64" i="28"/>
  <c r="O64" i="28" s="1"/>
  <c r="Q63" i="24"/>
  <c r="B52" i="29" s="1"/>
  <c r="P64" i="24"/>
  <c r="F65" i="24"/>
  <c r="H65" i="24" s="1"/>
  <c r="K65" i="24" s="1"/>
  <c r="I65" i="24"/>
  <c r="L65" i="24" s="1"/>
  <c r="C65" i="24"/>
  <c r="M65" i="24" s="1"/>
  <c r="B66" i="24"/>
  <c r="G66" i="24" s="1"/>
  <c r="J64" i="24"/>
  <c r="O64" i="24"/>
  <c r="Q64" i="28" l="1"/>
  <c r="C53" i="29" s="1"/>
  <c r="C66" i="28"/>
  <c r="M66" i="28" s="1"/>
  <c r="G66" i="28"/>
  <c r="I66" i="28" s="1"/>
  <c r="L66" i="28" s="1"/>
  <c r="F66" i="28"/>
  <c r="H66" i="28" s="1"/>
  <c r="B67" i="28"/>
  <c r="K65" i="28"/>
  <c r="O65" i="28" s="1"/>
  <c r="J65" i="28"/>
  <c r="P65" i="28"/>
  <c r="N65" i="28"/>
  <c r="N64" i="28"/>
  <c r="F66" i="24"/>
  <c r="H66" i="24" s="1"/>
  <c r="K66" i="24" s="1"/>
  <c r="I66" i="24"/>
  <c r="L66" i="24" s="1"/>
  <c r="B67" i="24"/>
  <c r="G67" i="24" s="1"/>
  <c r="C66" i="24"/>
  <c r="M66" i="24" s="1"/>
  <c r="P65" i="24"/>
  <c r="J65" i="24"/>
  <c r="O65" i="24"/>
  <c r="Q64" i="24"/>
  <c r="B53" i="29" s="1"/>
  <c r="N64" i="24"/>
  <c r="Q65" i="28" l="1"/>
  <c r="C54" i="29" s="1"/>
  <c r="G67" i="28"/>
  <c r="I67" i="28" s="1"/>
  <c r="L67" i="28" s="1"/>
  <c r="C67" i="28"/>
  <c r="M67" i="28" s="1"/>
  <c r="B68" i="28"/>
  <c r="F67" i="28"/>
  <c r="H67" i="28" s="1"/>
  <c r="J66" i="28"/>
  <c r="K66" i="28"/>
  <c r="O66" i="28" s="1"/>
  <c r="P66" i="28"/>
  <c r="Q65" i="24"/>
  <c r="B54" i="29" s="1"/>
  <c r="P66" i="24"/>
  <c r="F67" i="24"/>
  <c r="H67" i="24" s="1"/>
  <c r="K67" i="24" s="1"/>
  <c r="C67" i="24"/>
  <c r="M67" i="24" s="1"/>
  <c r="B68" i="24"/>
  <c r="G68" i="24" s="1"/>
  <c r="I67" i="24"/>
  <c r="L67" i="24" s="1"/>
  <c r="N65" i="24"/>
  <c r="J66" i="24"/>
  <c r="O66" i="24"/>
  <c r="N66" i="28" l="1"/>
  <c r="Q66" i="28"/>
  <c r="C55" i="29" s="1"/>
  <c r="J67" i="28"/>
  <c r="K67" i="28"/>
  <c r="O67" i="28" s="1"/>
  <c r="G68" i="28"/>
  <c r="I68" i="28" s="1"/>
  <c r="L68" i="28" s="1"/>
  <c r="B69" i="28"/>
  <c r="C68" i="28"/>
  <c r="M68" i="28" s="1"/>
  <c r="F68" i="28"/>
  <c r="H68" i="28" s="1"/>
  <c r="P67" i="28"/>
  <c r="Q67" i="28" s="1"/>
  <c r="C56" i="29" s="1"/>
  <c r="N67" i="28"/>
  <c r="Q66" i="24"/>
  <c r="B55" i="29" s="1"/>
  <c r="P67" i="24"/>
  <c r="J67" i="24"/>
  <c r="O67" i="24"/>
  <c r="F68" i="24"/>
  <c r="H68" i="24" s="1"/>
  <c r="K68" i="24" s="1"/>
  <c r="B69" i="24"/>
  <c r="G69" i="24" s="1"/>
  <c r="C68" i="24"/>
  <c r="M68" i="24" s="1"/>
  <c r="I68" i="24"/>
  <c r="L68" i="24" s="1"/>
  <c r="N66" i="24"/>
  <c r="J68" i="28" l="1"/>
  <c r="K68" i="28"/>
  <c r="O68" i="28" s="1"/>
  <c r="P68" i="28"/>
  <c r="C69" i="28"/>
  <c r="M69" i="28" s="1"/>
  <c r="B70" i="28"/>
  <c r="F69" i="28"/>
  <c r="H69" i="28" s="1"/>
  <c r="G69" i="28"/>
  <c r="I69" i="28" s="1"/>
  <c r="L69" i="28" s="1"/>
  <c r="F69" i="24"/>
  <c r="H69" i="24" s="1"/>
  <c r="K69" i="24" s="1"/>
  <c r="I69" i="24"/>
  <c r="L69" i="24" s="1"/>
  <c r="B70" i="24"/>
  <c r="G70" i="24" s="1"/>
  <c r="C69" i="24"/>
  <c r="M69" i="24" s="1"/>
  <c r="N68" i="24"/>
  <c r="P68" i="24"/>
  <c r="Q67" i="24"/>
  <c r="B56" i="29" s="1"/>
  <c r="J68" i="24"/>
  <c r="O68" i="24"/>
  <c r="N67" i="24"/>
  <c r="N68" i="28" l="1"/>
  <c r="Q68" i="28"/>
  <c r="C57" i="29" s="1"/>
  <c r="P69" i="28"/>
  <c r="K69" i="28"/>
  <c r="O69" i="28" s="1"/>
  <c r="J69" i="28"/>
  <c r="B71" i="28"/>
  <c r="G70" i="28"/>
  <c r="I70" i="28" s="1"/>
  <c r="L70" i="28" s="1"/>
  <c r="F70" i="28"/>
  <c r="H70" i="28" s="1"/>
  <c r="C70" i="28"/>
  <c r="M70" i="28" s="1"/>
  <c r="Q68" i="24"/>
  <c r="B57" i="29" s="1"/>
  <c r="P69" i="24"/>
  <c r="F70" i="24"/>
  <c r="H70" i="24" s="1"/>
  <c r="K70" i="24" s="1"/>
  <c r="I70" i="24"/>
  <c r="L70" i="24" s="1"/>
  <c r="B71" i="24"/>
  <c r="G71" i="24" s="1"/>
  <c r="C70" i="24"/>
  <c r="M70" i="24" s="1"/>
  <c r="J69" i="24"/>
  <c r="O69" i="24"/>
  <c r="Q69" i="28" l="1"/>
  <c r="C58" i="29" s="1"/>
  <c r="P70" i="28"/>
  <c r="J70" i="28"/>
  <c r="K70" i="28"/>
  <c r="O70" i="28" s="1"/>
  <c r="G71" i="28"/>
  <c r="I71" i="28" s="1"/>
  <c r="L71" i="28" s="1"/>
  <c r="C71" i="28"/>
  <c r="M71" i="28" s="1"/>
  <c r="F71" i="28"/>
  <c r="H71" i="28" s="1"/>
  <c r="B72" i="28"/>
  <c r="N69" i="28"/>
  <c r="P70" i="24"/>
  <c r="F71" i="24"/>
  <c r="H71" i="24" s="1"/>
  <c r="K71" i="24" s="1"/>
  <c r="C71" i="24"/>
  <c r="M71" i="24" s="1"/>
  <c r="B72" i="24"/>
  <c r="G72" i="24" s="1"/>
  <c r="I71" i="24"/>
  <c r="L71" i="24" s="1"/>
  <c r="J70" i="24"/>
  <c r="O70" i="24"/>
  <c r="Q69" i="24"/>
  <c r="B58" i="29" s="1"/>
  <c r="N69" i="24"/>
  <c r="J71" i="28" l="1"/>
  <c r="K71" i="28"/>
  <c r="O71" i="28" s="1"/>
  <c r="C72" i="28"/>
  <c r="M72" i="28" s="1"/>
  <c r="G72" i="28"/>
  <c r="I72" i="28" s="1"/>
  <c r="L72" i="28" s="1"/>
  <c r="F72" i="28"/>
  <c r="H72" i="28" s="1"/>
  <c r="B73" i="28"/>
  <c r="N70" i="28"/>
  <c r="P71" i="28"/>
  <c r="Q70" i="28"/>
  <c r="C59" i="29" s="1"/>
  <c r="B73" i="24"/>
  <c r="G73" i="24" s="1"/>
  <c r="F72" i="24"/>
  <c r="H72" i="24" s="1"/>
  <c r="K72" i="24" s="1"/>
  <c r="I72" i="24"/>
  <c r="L72" i="24" s="1"/>
  <c r="C72" i="24"/>
  <c r="M72" i="24" s="1"/>
  <c r="P71" i="24"/>
  <c r="J71" i="24"/>
  <c r="O71" i="24"/>
  <c r="Q70" i="24"/>
  <c r="B59" i="29" s="1"/>
  <c r="N70" i="24"/>
  <c r="N71" i="28" l="1"/>
  <c r="Q71" i="28"/>
  <c r="C60" i="29" s="1"/>
  <c r="J72" i="28"/>
  <c r="K72" i="28"/>
  <c r="O72" i="28" s="1"/>
  <c r="G73" i="28"/>
  <c r="I73" i="28" s="1"/>
  <c r="L73" i="28" s="1"/>
  <c r="F73" i="28"/>
  <c r="H73" i="28" s="1"/>
  <c r="C73" i="28"/>
  <c r="M73" i="28" s="1"/>
  <c r="B74" i="28"/>
  <c r="P72" i="28"/>
  <c r="Q72" i="28" s="1"/>
  <c r="C61" i="29" s="1"/>
  <c r="Q71" i="24"/>
  <c r="B60" i="29" s="1"/>
  <c r="N71" i="24"/>
  <c r="P72" i="24"/>
  <c r="J72" i="24"/>
  <c r="O72" i="24"/>
  <c r="B74" i="24"/>
  <c r="G74" i="24" s="1"/>
  <c r="F73" i="24"/>
  <c r="H73" i="24" s="1"/>
  <c r="K73" i="24" s="1"/>
  <c r="I73" i="24"/>
  <c r="L73" i="24" s="1"/>
  <c r="C73" i="24"/>
  <c r="M73" i="24" s="1"/>
  <c r="N72" i="28" l="1"/>
  <c r="G74" i="28"/>
  <c r="I74" i="28" s="1"/>
  <c r="L74" i="28" s="1"/>
  <c r="B75" i="28"/>
  <c r="F74" i="28"/>
  <c r="H74" i="28" s="1"/>
  <c r="C74" i="28"/>
  <c r="M74" i="28" s="1"/>
  <c r="P73" i="28"/>
  <c r="J73" i="28"/>
  <c r="K73" i="28"/>
  <c r="O73" i="28" s="1"/>
  <c r="J73" i="24"/>
  <c r="O73" i="24"/>
  <c r="N72" i="24"/>
  <c r="Q72" i="24"/>
  <c r="B61" i="29" s="1"/>
  <c r="P73" i="24"/>
  <c r="N73" i="24"/>
  <c r="B75" i="24"/>
  <c r="G75" i="24" s="1"/>
  <c r="F74" i="24"/>
  <c r="H74" i="24" s="1"/>
  <c r="K74" i="24" s="1"/>
  <c r="I74" i="24"/>
  <c r="L74" i="24" s="1"/>
  <c r="C74" i="24"/>
  <c r="M74" i="24" s="1"/>
  <c r="Q73" i="24" l="1"/>
  <c r="B62" i="29" s="1"/>
  <c r="N73" i="28"/>
  <c r="P74" i="28"/>
  <c r="J74" i="28"/>
  <c r="K74" i="28"/>
  <c r="O74" i="28" s="1"/>
  <c r="Q73" i="28"/>
  <c r="C62" i="29" s="1"/>
  <c r="C75" i="28"/>
  <c r="M75" i="28" s="1"/>
  <c r="B76" i="28"/>
  <c r="F75" i="28"/>
  <c r="H75" i="28" s="1"/>
  <c r="G75" i="28"/>
  <c r="I75" i="28" s="1"/>
  <c r="L75" i="28" s="1"/>
  <c r="J74" i="24"/>
  <c r="O74" i="24"/>
  <c r="B76" i="24"/>
  <c r="G76" i="24" s="1"/>
  <c r="I75" i="24"/>
  <c r="L75" i="24" s="1"/>
  <c r="F75" i="24"/>
  <c r="H75" i="24" s="1"/>
  <c r="K75" i="24" s="1"/>
  <c r="C75" i="24"/>
  <c r="M75" i="24" s="1"/>
  <c r="P74" i="24"/>
  <c r="N74" i="24"/>
  <c r="B77" i="28" l="1"/>
  <c r="G76" i="28"/>
  <c r="I76" i="28" s="1"/>
  <c r="L76" i="28" s="1"/>
  <c r="F76" i="28"/>
  <c r="H76" i="28" s="1"/>
  <c r="C76" i="28"/>
  <c r="M76" i="28" s="1"/>
  <c r="K75" i="28"/>
  <c r="O75" i="28" s="1"/>
  <c r="J75" i="28"/>
  <c r="N74" i="28"/>
  <c r="Q74" i="28"/>
  <c r="C63" i="29" s="1"/>
  <c r="P75" i="28"/>
  <c r="Q74" i="24"/>
  <c r="B63" i="29" s="1"/>
  <c r="J75" i="24"/>
  <c r="O75" i="24"/>
  <c r="B77" i="24"/>
  <c r="G77" i="24" s="1"/>
  <c r="F76" i="24"/>
  <c r="H76" i="24" s="1"/>
  <c r="K76" i="24" s="1"/>
  <c r="I76" i="24"/>
  <c r="L76" i="24" s="1"/>
  <c r="C76" i="24"/>
  <c r="M76" i="24" s="1"/>
  <c r="P75" i="24"/>
  <c r="N75" i="24"/>
  <c r="N75" i="28" l="1"/>
  <c r="Q75" i="28"/>
  <c r="C64" i="29" s="1"/>
  <c r="J76" i="28"/>
  <c r="K76" i="28"/>
  <c r="O76" i="28" s="1"/>
  <c r="P76" i="28"/>
  <c r="G77" i="28"/>
  <c r="I77" i="28" s="1"/>
  <c r="L77" i="28" s="1"/>
  <c r="C77" i="28"/>
  <c r="M77" i="28" s="1"/>
  <c r="B78" i="28"/>
  <c r="F77" i="28"/>
  <c r="H77" i="28" s="1"/>
  <c r="Q75" i="24"/>
  <c r="B64" i="29" s="1"/>
  <c r="P76" i="24"/>
  <c r="J76" i="24"/>
  <c r="O76" i="24"/>
  <c r="B78" i="24"/>
  <c r="G78" i="24" s="1"/>
  <c r="C77" i="24"/>
  <c r="M77" i="24" s="1"/>
  <c r="F77" i="24"/>
  <c r="H77" i="24" s="1"/>
  <c r="K77" i="24" s="1"/>
  <c r="I77" i="24"/>
  <c r="L77" i="24" s="1"/>
  <c r="N76" i="28" l="1"/>
  <c r="Q76" i="28"/>
  <c r="C65" i="29" s="1"/>
  <c r="K77" i="28"/>
  <c r="O77" i="28" s="1"/>
  <c r="J77" i="28"/>
  <c r="C78" i="28"/>
  <c r="M78" i="28" s="1"/>
  <c r="G78" i="28"/>
  <c r="I78" i="28" s="1"/>
  <c r="L78" i="28" s="1"/>
  <c r="F78" i="28"/>
  <c r="H78" i="28" s="1"/>
  <c r="B79" i="28"/>
  <c r="P77" i="28"/>
  <c r="P77" i="24"/>
  <c r="J77" i="24"/>
  <c r="O77" i="24"/>
  <c r="N76" i="24"/>
  <c r="B79" i="24"/>
  <c r="G79" i="24" s="1"/>
  <c r="F78" i="24"/>
  <c r="H78" i="24" s="1"/>
  <c r="K78" i="24" s="1"/>
  <c r="C78" i="24"/>
  <c r="M78" i="24" s="1"/>
  <c r="I78" i="24"/>
  <c r="L78" i="24" s="1"/>
  <c r="Q76" i="24"/>
  <c r="B65" i="29" s="1"/>
  <c r="N77" i="28" l="1"/>
  <c r="Q77" i="28"/>
  <c r="C66" i="29" s="1"/>
  <c r="G79" i="28"/>
  <c r="I79" i="28" s="1"/>
  <c r="L79" i="28" s="1"/>
  <c r="B80" i="28"/>
  <c r="C79" i="28"/>
  <c r="M79" i="28" s="1"/>
  <c r="F79" i="28"/>
  <c r="H79" i="28" s="1"/>
  <c r="P78" i="28"/>
  <c r="J78" i="28"/>
  <c r="K78" i="28"/>
  <c r="O78" i="28" s="1"/>
  <c r="B80" i="24"/>
  <c r="G80" i="24" s="1"/>
  <c r="F79" i="24"/>
  <c r="H79" i="24" s="1"/>
  <c r="K79" i="24" s="1"/>
  <c r="C79" i="24"/>
  <c r="M79" i="24" s="1"/>
  <c r="I79" i="24"/>
  <c r="L79" i="24" s="1"/>
  <c r="P78" i="24"/>
  <c r="J78" i="24"/>
  <c r="O78" i="24"/>
  <c r="N77" i="24"/>
  <c r="Q77" i="24"/>
  <c r="B66" i="29" s="1"/>
  <c r="N78" i="28" l="1"/>
  <c r="J79" i="28"/>
  <c r="K79" i="28"/>
  <c r="O79" i="28" s="1"/>
  <c r="P79" i="28"/>
  <c r="Q78" i="28"/>
  <c r="C67" i="29" s="1"/>
  <c r="G80" i="28"/>
  <c r="I80" i="28" s="1"/>
  <c r="L80" i="28" s="1"/>
  <c r="B81" i="28"/>
  <c r="F80" i="28"/>
  <c r="H80" i="28" s="1"/>
  <c r="C80" i="28"/>
  <c r="M80" i="28" s="1"/>
  <c r="N78" i="24"/>
  <c r="Q78" i="24"/>
  <c r="B67" i="29" s="1"/>
  <c r="P79" i="24"/>
  <c r="J79" i="24"/>
  <c r="O79" i="24"/>
  <c r="B81" i="24"/>
  <c r="G81" i="24" s="1"/>
  <c r="F80" i="24"/>
  <c r="H80" i="24" s="1"/>
  <c r="K80" i="24" s="1"/>
  <c r="I80" i="24"/>
  <c r="L80" i="24" s="1"/>
  <c r="C80" i="24"/>
  <c r="M80" i="24" s="1"/>
  <c r="N79" i="28" l="1"/>
  <c r="Q79" i="28"/>
  <c r="C68" i="29" s="1"/>
  <c r="P80" i="28"/>
  <c r="J80" i="28"/>
  <c r="K80" i="28"/>
  <c r="O80" i="28" s="1"/>
  <c r="C81" i="28"/>
  <c r="M81" i="28" s="1"/>
  <c r="B82" i="28"/>
  <c r="G81" i="28"/>
  <c r="I81" i="28" s="1"/>
  <c r="L81" i="28" s="1"/>
  <c r="F81" i="28"/>
  <c r="H81" i="28" s="1"/>
  <c r="J80" i="24"/>
  <c r="O80" i="24"/>
  <c r="B82" i="24"/>
  <c r="G82" i="24" s="1"/>
  <c r="I81" i="24"/>
  <c r="L81" i="24" s="1"/>
  <c r="F81" i="24"/>
  <c r="H81" i="24" s="1"/>
  <c r="K81" i="24" s="1"/>
  <c r="C81" i="24"/>
  <c r="M81" i="24" s="1"/>
  <c r="Q79" i="24"/>
  <c r="B68" i="29" s="1"/>
  <c r="N79" i="24"/>
  <c r="P80" i="24"/>
  <c r="N80" i="24"/>
  <c r="N80" i="28" l="1"/>
  <c r="P81" i="28"/>
  <c r="K81" i="28"/>
  <c r="O81" i="28" s="1"/>
  <c r="J81" i="28"/>
  <c r="B83" i="28"/>
  <c r="G82" i="28"/>
  <c r="I82" i="28" s="1"/>
  <c r="L82" i="28" s="1"/>
  <c r="F82" i="28"/>
  <c r="H82" i="28" s="1"/>
  <c r="C82" i="28"/>
  <c r="M82" i="28" s="1"/>
  <c r="Q80" i="28"/>
  <c r="C69" i="29" s="1"/>
  <c r="J81" i="24"/>
  <c r="O81" i="24"/>
  <c r="B83" i="24"/>
  <c r="G83" i="24" s="1"/>
  <c r="F82" i="24"/>
  <c r="H82" i="24" s="1"/>
  <c r="K82" i="24" s="1"/>
  <c r="I82" i="24"/>
  <c r="L82" i="24" s="1"/>
  <c r="C82" i="24"/>
  <c r="M82" i="24" s="1"/>
  <c r="N81" i="24"/>
  <c r="P81" i="24"/>
  <c r="Q80" i="24"/>
  <c r="B69" i="29" s="1"/>
  <c r="Q81" i="24" l="1"/>
  <c r="B70" i="29" s="1"/>
  <c r="N81" i="28"/>
  <c r="Q81" i="28"/>
  <c r="C70" i="29" s="1"/>
  <c r="G83" i="28"/>
  <c r="I83" i="28" s="1"/>
  <c r="L83" i="28" s="1"/>
  <c r="C83" i="28"/>
  <c r="M83" i="28" s="1"/>
  <c r="B84" i="28"/>
  <c r="F83" i="28"/>
  <c r="H83" i="28" s="1"/>
  <c r="P82" i="28"/>
  <c r="J82" i="28"/>
  <c r="K82" i="28"/>
  <c r="O82" i="28" s="1"/>
  <c r="J82" i="24"/>
  <c r="O82" i="24"/>
  <c r="B84" i="24"/>
  <c r="G84" i="24" s="1"/>
  <c r="I83" i="24"/>
  <c r="L83" i="24" s="1"/>
  <c r="C83" i="24"/>
  <c r="M83" i="24" s="1"/>
  <c r="F83" i="24"/>
  <c r="H83" i="24" s="1"/>
  <c r="K83" i="24" s="1"/>
  <c r="P82" i="24"/>
  <c r="N82" i="24"/>
  <c r="N82" i="28" l="1"/>
  <c r="K83" i="28"/>
  <c r="O83" i="28" s="1"/>
  <c r="J83" i="28"/>
  <c r="C84" i="28"/>
  <c r="M84" i="28" s="1"/>
  <c r="G84" i="28"/>
  <c r="I84" i="28" s="1"/>
  <c r="L84" i="28" s="1"/>
  <c r="F84" i="28"/>
  <c r="H84" i="28" s="1"/>
  <c r="B85" i="28"/>
  <c r="Q82" i="28"/>
  <c r="C71" i="29" s="1"/>
  <c r="P83" i="28"/>
  <c r="Q82" i="24"/>
  <c r="B71" i="29" s="1"/>
  <c r="J83" i="24"/>
  <c r="O83" i="24"/>
  <c r="F84" i="24"/>
  <c r="H84" i="24" s="1"/>
  <c r="K84" i="24" s="1"/>
  <c r="B85" i="24"/>
  <c r="G85" i="24" s="1"/>
  <c r="I84" i="24"/>
  <c r="L84" i="24" s="1"/>
  <c r="C84" i="24"/>
  <c r="M84" i="24" s="1"/>
  <c r="P83" i="24"/>
  <c r="N83" i="24"/>
  <c r="N83" i="28" l="1"/>
  <c r="Q83" i="28"/>
  <c r="C72" i="29" s="1"/>
  <c r="J84" i="28"/>
  <c r="K84" i="28"/>
  <c r="O84" i="28" s="1"/>
  <c r="G85" i="28"/>
  <c r="I85" i="28" s="1"/>
  <c r="L85" i="28" s="1"/>
  <c r="F85" i="28"/>
  <c r="H85" i="28" s="1"/>
  <c r="B86" i="28"/>
  <c r="C85" i="28"/>
  <c r="M85" i="28" s="1"/>
  <c r="P84" i="28"/>
  <c r="Q83" i="24"/>
  <c r="B72" i="29" s="1"/>
  <c r="F85" i="24"/>
  <c r="H85" i="24" s="1"/>
  <c r="K85" i="24" s="1"/>
  <c r="B86" i="24"/>
  <c r="G86" i="24" s="1"/>
  <c r="I85" i="24"/>
  <c r="L85" i="24" s="1"/>
  <c r="C85" i="24"/>
  <c r="M85" i="24" s="1"/>
  <c r="J84" i="24"/>
  <c r="O84" i="24"/>
  <c r="P84" i="24"/>
  <c r="Q84" i="24" s="1"/>
  <c r="B73" i="29" s="1"/>
  <c r="N84" i="28" l="1"/>
  <c r="Q84" i="28"/>
  <c r="C73" i="29" s="1"/>
  <c r="J85" i="28"/>
  <c r="K85" i="28"/>
  <c r="O85" i="28" s="1"/>
  <c r="P85" i="28"/>
  <c r="G86" i="28"/>
  <c r="I86" i="28" s="1"/>
  <c r="L86" i="28" s="1"/>
  <c r="B87" i="28"/>
  <c r="F86" i="28"/>
  <c r="H86" i="28" s="1"/>
  <c r="C86" i="28"/>
  <c r="M86" i="28" s="1"/>
  <c r="N84" i="24"/>
  <c r="P85" i="24"/>
  <c r="F86" i="24"/>
  <c r="H86" i="24" s="1"/>
  <c r="K86" i="24" s="1"/>
  <c r="B87" i="24"/>
  <c r="G87" i="24" s="1"/>
  <c r="I86" i="24"/>
  <c r="L86" i="24" s="1"/>
  <c r="C86" i="24"/>
  <c r="M86" i="24" s="1"/>
  <c r="J85" i="24"/>
  <c r="O85" i="24"/>
  <c r="N85" i="28" l="1"/>
  <c r="Q85" i="28"/>
  <c r="C74" i="29" s="1"/>
  <c r="P86" i="28"/>
  <c r="J86" i="28"/>
  <c r="K86" i="28"/>
  <c r="O86" i="28" s="1"/>
  <c r="C87" i="28"/>
  <c r="M87" i="28" s="1"/>
  <c r="B88" i="28"/>
  <c r="F87" i="28"/>
  <c r="H87" i="28" s="1"/>
  <c r="G87" i="28"/>
  <c r="I87" i="28" s="1"/>
  <c r="L87" i="28" s="1"/>
  <c r="P86" i="24"/>
  <c r="F87" i="24"/>
  <c r="H87" i="24" s="1"/>
  <c r="K87" i="24" s="1"/>
  <c r="B88" i="24"/>
  <c r="G88" i="24" s="1"/>
  <c r="I87" i="24"/>
  <c r="L87" i="24" s="1"/>
  <c r="C87" i="24"/>
  <c r="M87" i="24" s="1"/>
  <c r="J86" i="24"/>
  <c r="O86" i="24"/>
  <c r="Q85" i="24"/>
  <c r="B74" i="29" s="1"/>
  <c r="N85" i="24"/>
  <c r="N86" i="28" l="1"/>
  <c r="Q86" i="28"/>
  <c r="C75" i="29" s="1"/>
  <c r="K87" i="28"/>
  <c r="O87" i="28" s="1"/>
  <c r="J87" i="28"/>
  <c r="B89" i="28"/>
  <c r="C88" i="28"/>
  <c r="M88" i="28" s="1"/>
  <c r="G88" i="28"/>
  <c r="I88" i="28" s="1"/>
  <c r="L88" i="28" s="1"/>
  <c r="F88" i="28"/>
  <c r="H88" i="28" s="1"/>
  <c r="P87" i="28"/>
  <c r="N87" i="28"/>
  <c r="F88" i="24"/>
  <c r="H88" i="24" s="1"/>
  <c r="K88" i="24" s="1"/>
  <c r="B89" i="24"/>
  <c r="G89" i="24" s="1"/>
  <c r="I88" i="24"/>
  <c r="L88" i="24" s="1"/>
  <c r="C88" i="24"/>
  <c r="M88" i="24" s="1"/>
  <c r="P87" i="24"/>
  <c r="J87" i="24"/>
  <c r="O87" i="24"/>
  <c r="Q86" i="24"/>
  <c r="B75" i="29" s="1"/>
  <c r="N86" i="24"/>
  <c r="Q87" i="28" l="1"/>
  <c r="C76" i="29" s="1"/>
  <c r="P88" i="28"/>
  <c r="G89" i="28"/>
  <c r="I89" i="28" s="1"/>
  <c r="L89" i="28" s="1"/>
  <c r="C89" i="28"/>
  <c r="M89" i="28" s="1"/>
  <c r="F89" i="28"/>
  <c r="H89" i="28" s="1"/>
  <c r="B90" i="28"/>
  <c r="J88" i="28"/>
  <c r="K88" i="28"/>
  <c r="O88" i="28" s="1"/>
  <c r="N87" i="24"/>
  <c r="P88" i="24"/>
  <c r="Q87" i="24"/>
  <c r="B76" i="29" s="1"/>
  <c r="F89" i="24"/>
  <c r="H89" i="24" s="1"/>
  <c r="K89" i="24" s="1"/>
  <c r="B90" i="24"/>
  <c r="G90" i="24" s="1"/>
  <c r="I89" i="24"/>
  <c r="L89" i="24" s="1"/>
  <c r="C89" i="24"/>
  <c r="M89" i="24" s="1"/>
  <c r="J88" i="24"/>
  <c r="O88" i="24"/>
  <c r="P89" i="28" l="1"/>
  <c r="C90" i="28"/>
  <c r="M90" i="28" s="1"/>
  <c r="G90" i="28"/>
  <c r="I90" i="28" s="1"/>
  <c r="L90" i="28" s="1"/>
  <c r="F90" i="28"/>
  <c r="H90" i="28" s="1"/>
  <c r="B91" i="28"/>
  <c r="K89" i="28"/>
  <c r="O89" i="28" s="1"/>
  <c r="J89" i="28"/>
  <c r="N88" i="28"/>
  <c r="Q88" i="28"/>
  <c r="C77" i="29" s="1"/>
  <c r="Q88" i="24"/>
  <c r="B77" i="29" s="1"/>
  <c r="F90" i="24"/>
  <c r="H90" i="24" s="1"/>
  <c r="K90" i="24" s="1"/>
  <c r="B91" i="24"/>
  <c r="G91" i="24" s="1"/>
  <c r="I90" i="24"/>
  <c r="L90" i="24" s="1"/>
  <c r="C90" i="24"/>
  <c r="M90" i="24" s="1"/>
  <c r="J89" i="24"/>
  <c r="O89" i="24"/>
  <c r="P89" i="24"/>
  <c r="N88" i="24"/>
  <c r="P90" i="28" l="1"/>
  <c r="G91" i="28"/>
  <c r="I91" i="28" s="1"/>
  <c r="L91" i="28" s="1"/>
  <c r="C91" i="28"/>
  <c r="M91" i="28" s="1"/>
  <c r="B92" i="28"/>
  <c r="F91" i="28"/>
  <c r="H91" i="28" s="1"/>
  <c r="J90" i="28"/>
  <c r="K90" i="28"/>
  <c r="O90" i="28" s="1"/>
  <c r="N89" i="28"/>
  <c r="Q89" i="28"/>
  <c r="C78" i="29" s="1"/>
  <c r="N89" i="24"/>
  <c r="Q89" i="24"/>
  <c r="B78" i="29" s="1"/>
  <c r="P90" i="24"/>
  <c r="F91" i="24"/>
  <c r="H91" i="24" s="1"/>
  <c r="K91" i="24" s="1"/>
  <c r="B92" i="24"/>
  <c r="G92" i="24" s="1"/>
  <c r="I91" i="24"/>
  <c r="L91" i="24" s="1"/>
  <c r="C91" i="24"/>
  <c r="M91" i="24" s="1"/>
  <c r="J90" i="24"/>
  <c r="O90" i="24"/>
  <c r="J91" i="28" l="1"/>
  <c r="K91" i="28"/>
  <c r="O91" i="28" s="1"/>
  <c r="G92" i="28"/>
  <c r="I92" i="28" s="1"/>
  <c r="L92" i="28" s="1"/>
  <c r="B93" i="28"/>
  <c r="F92" i="28"/>
  <c r="H92" i="28" s="1"/>
  <c r="C92" i="28"/>
  <c r="M92" i="28" s="1"/>
  <c r="N90" i="28"/>
  <c r="P91" i="28"/>
  <c r="Q91" i="28" s="1"/>
  <c r="C80" i="29" s="1"/>
  <c r="N91" i="28"/>
  <c r="Q90" i="28"/>
  <c r="C79" i="29" s="1"/>
  <c r="P91" i="24"/>
  <c r="F92" i="24"/>
  <c r="H92" i="24" s="1"/>
  <c r="K92" i="24" s="1"/>
  <c r="B93" i="24"/>
  <c r="G93" i="24" s="1"/>
  <c r="I92" i="24"/>
  <c r="L92" i="24" s="1"/>
  <c r="C92" i="24"/>
  <c r="M92" i="24" s="1"/>
  <c r="J91" i="24"/>
  <c r="O91" i="24"/>
  <c r="Q90" i="24"/>
  <c r="B79" i="29" s="1"/>
  <c r="N90" i="24"/>
  <c r="P92" i="28" l="1"/>
  <c r="J92" i="28"/>
  <c r="K92" i="28"/>
  <c r="O92" i="28" s="1"/>
  <c r="C93" i="28"/>
  <c r="M93" i="28" s="1"/>
  <c r="B94" i="28"/>
  <c r="G93" i="28"/>
  <c r="I93" i="28" s="1"/>
  <c r="L93" i="28" s="1"/>
  <c r="F93" i="28"/>
  <c r="H93" i="28" s="1"/>
  <c r="P92" i="24"/>
  <c r="F93" i="24"/>
  <c r="H93" i="24" s="1"/>
  <c r="K93" i="24" s="1"/>
  <c r="B94" i="24"/>
  <c r="G94" i="24" s="1"/>
  <c r="I93" i="24"/>
  <c r="L93" i="24" s="1"/>
  <c r="C93" i="24"/>
  <c r="M93" i="24" s="1"/>
  <c r="J92" i="24"/>
  <c r="O92" i="24"/>
  <c r="Q91" i="24"/>
  <c r="B80" i="29" s="1"/>
  <c r="N91" i="24"/>
  <c r="B95" i="28" l="1"/>
  <c r="G94" i="28"/>
  <c r="I94" i="28" s="1"/>
  <c r="L94" i="28" s="1"/>
  <c r="F94" i="28"/>
  <c r="H94" i="28" s="1"/>
  <c r="C94" i="28"/>
  <c r="M94" i="28" s="1"/>
  <c r="K93" i="28"/>
  <c r="O93" i="28" s="1"/>
  <c r="J93" i="28"/>
  <c r="P93" i="28"/>
  <c r="N92" i="28"/>
  <c r="Q92" i="28"/>
  <c r="C81" i="29" s="1"/>
  <c r="P93" i="24"/>
  <c r="F94" i="24"/>
  <c r="H94" i="24" s="1"/>
  <c r="K94" i="24" s="1"/>
  <c r="B95" i="24"/>
  <c r="G95" i="24" s="1"/>
  <c r="I94" i="24"/>
  <c r="L94" i="24" s="1"/>
  <c r="C94" i="24"/>
  <c r="M94" i="24" s="1"/>
  <c r="J93" i="24"/>
  <c r="O93" i="24"/>
  <c r="Q92" i="24"/>
  <c r="B81" i="29" s="1"/>
  <c r="N92" i="24"/>
  <c r="N93" i="28" l="1"/>
  <c r="Q93" i="28"/>
  <c r="C82" i="29" s="1"/>
  <c r="P94" i="28"/>
  <c r="J94" i="28"/>
  <c r="K94" i="28"/>
  <c r="O94" i="28" s="1"/>
  <c r="G95" i="28"/>
  <c r="I95" i="28" s="1"/>
  <c r="L95" i="28" s="1"/>
  <c r="C95" i="28"/>
  <c r="M95" i="28" s="1"/>
  <c r="F95" i="28"/>
  <c r="H95" i="28" s="1"/>
  <c r="B96" i="28"/>
  <c r="P94" i="24"/>
  <c r="F95" i="24"/>
  <c r="H95" i="24" s="1"/>
  <c r="K95" i="24" s="1"/>
  <c r="B96" i="24"/>
  <c r="G96" i="24" s="1"/>
  <c r="I95" i="24"/>
  <c r="L95" i="24" s="1"/>
  <c r="C95" i="24"/>
  <c r="M95" i="24" s="1"/>
  <c r="J94" i="24"/>
  <c r="O94" i="24"/>
  <c r="Q93" i="24"/>
  <c r="B82" i="29" s="1"/>
  <c r="N93" i="24"/>
  <c r="C96" i="28" l="1"/>
  <c r="M96" i="28" s="1"/>
  <c r="G96" i="28"/>
  <c r="I96" i="28" s="1"/>
  <c r="L96" i="28" s="1"/>
  <c r="F96" i="28"/>
  <c r="H96" i="28" s="1"/>
  <c r="B97" i="28"/>
  <c r="J95" i="28"/>
  <c r="K95" i="28"/>
  <c r="O95" i="28" s="1"/>
  <c r="P95" i="28"/>
  <c r="N94" i="28"/>
  <c r="Q94" i="28"/>
  <c r="C83" i="29" s="1"/>
  <c r="F96" i="24"/>
  <c r="H96" i="24" s="1"/>
  <c r="K96" i="24" s="1"/>
  <c r="B97" i="24"/>
  <c r="G97" i="24" s="1"/>
  <c r="I96" i="24"/>
  <c r="L96" i="24" s="1"/>
  <c r="C96" i="24"/>
  <c r="M96" i="24" s="1"/>
  <c r="J95" i="24"/>
  <c r="O95" i="24"/>
  <c r="Q94" i="24"/>
  <c r="B83" i="29" s="1"/>
  <c r="N95" i="24"/>
  <c r="P95" i="24"/>
  <c r="N94" i="24"/>
  <c r="N95" i="28" l="1"/>
  <c r="Q95" i="28"/>
  <c r="C84" i="29" s="1"/>
  <c r="G97" i="28"/>
  <c r="I97" i="28" s="1"/>
  <c r="L97" i="28" s="1"/>
  <c r="F97" i="28"/>
  <c r="H97" i="28" s="1"/>
  <c r="C97" i="28"/>
  <c r="M97" i="28" s="1"/>
  <c r="B98" i="28"/>
  <c r="J96" i="28"/>
  <c r="K96" i="28"/>
  <c r="O96" i="28" s="1"/>
  <c r="P96" i="28"/>
  <c r="P96" i="24"/>
  <c r="F97" i="24"/>
  <c r="H97" i="24" s="1"/>
  <c r="K97" i="24" s="1"/>
  <c r="B98" i="24"/>
  <c r="G98" i="24" s="1"/>
  <c r="I97" i="24"/>
  <c r="L97" i="24" s="1"/>
  <c r="C97" i="24"/>
  <c r="M97" i="24" s="1"/>
  <c r="Q95" i="24"/>
  <c r="B84" i="29" s="1"/>
  <c r="J96" i="24"/>
  <c r="O96" i="24"/>
  <c r="N96" i="28" l="1"/>
  <c r="Q96" i="28"/>
  <c r="C85" i="29" s="1"/>
  <c r="G98" i="28"/>
  <c r="I98" i="28" s="1"/>
  <c r="L98" i="28" s="1"/>
  <c r="B99" i="28"/>
  <c r="C98" i="28"/>
  <c r="M98" i="28" s="1"/>
  <c r="F98" i="28"/>
  <c r="H98" i="28" s="1"/>
  <c r="P97" i="28"/>
  <c r="J97" i="28"/>
  <c r="K97" i="28"/>
  <c r="O97" i="28" s="1"/>
  <c r="Q96" i="24"/>
  <c r="B85" i="29" s="1"/>
  <c r="P97" i="24"/>
  <c r="F98" i="24"/>
  <c r="H98" i="24" s="1"/>
  <c r="K98" i="24" s="1"/>
  <c r="B99" i="24"/>
  <c r="G99" i="24" s="1"/>
  <c r="I98" i="24"/>
  <c r="L98" i="24" s="1"/>
  <c r="C98" i="24"/>
  <c r="M98" i="24" s="1"/>
  <c r="J97" i="24"/>
  <c r="O97" i="24"/>
  <c r="N96" i="24"/>
  <c r="N97" i="28" l="1"/>
  <c r="P98" i="28"/>
  <c r="C99" i="28"/>
  <c r="M99" i="28" s="1"/>
  <c r="B100" i="28"/>
  <c r="F99" i="28"/>
  <c r="H99" i="28" s="1"/>
  <c r="G99" i="28"/>
  <c r="I99" i="28" s="1"/>
  <c r="L99" i="28" s="1"/>
  <c r="Q97" i="28"/>
  <c r="C86" i="29" s="1"/>
  <c r="J98" i="28"/>
  <c r="K98" i="28"/>
  <c r="O98" i="28" s="1"/>
  <c r="F99" i="24"/>
  <c r="H99" i="24" s="1"/>
  <c r="K99" i="24" s="1"/>
  <c r="B100" i="24"/>
  <c r="G100" i="24" s="1"/>
  <c r="I99" i="24"/>
  <c r="L99" i="24" s="1"/>
  <c r="C99" i="24"/>
  <c r="M99" i="24" s="1"/>
  <c r="J98" i="24"/>
  <c r="O98" i="24"/>
  <c r="Q97" i="24"/>
  <c r="B86" i="29" s="1"/>
  <c r="N98" i="24"/>
  <c r="P98" i="24"/>
  <c r="N97" i="24"/>
  <c r="K99" i="28" l="1"/>
  <c r="O99" i="28" s="1"/>
  <c r="J99" i="28"/>
  <c r="B101" i="28"/>
  <c r="G100" i="28"/>
  <c r="I100" i="28" s="1"/>
  <c r="L100" i="28" s="1"/>
  <c r="F100" i="28"/>
  <c r="H100" i="28" s="1"/>
  <c r="C100" i="28"/>
  <c r="M100" i="28" s="1"/>
  <c r="N98" i="28"/>
  <c r="P99" i="28"/>
  <c r="Q98" i="28"/>
  <c r="C87" i="29" s="1"/>
  <c r="P99" i="24"/>
  <c r="F100" i="24"/>
  <c r="H100" i="24" s="1"/>
  <c r="K100" i="24" s="1"/>
  <c r="B101" i="24"/>
  <c r="G101" i="24" s="1"/>
  <c r="I100" i="24"/>
  <c r="L100" i="24" s="1"/>
  <c r="C100" i="24"/>
  <c r="M100" i="24" s="1"/>
  <c r="Q98" i="24"/>
  <c r="B87" i="29" s="1"/>
  <c r="J99" i="24"/>
  <c r="O99" i="24"/>
  <c r="N99" i="28" l="1"/>
  <c r="Q99" i="28"/>
  <c r="C88" i="29" s="1"/>
  <c r="P100" i="28"/>
  <c r="J100" i="28"/>
  <c r="K100" i="28"/>
  <c r="O100" i="28" s="1"/>
  <c r="G101" i="28"/>
  <c r="I101" i="28" s="1"/>
  <c r="L101" i="28" s="1"/>
  <c r="C101" i="28"/>
  <c r="M101" i="28" s="1"/>
  <c r="B102" i="28"/>
  <c r="F101" i="28"/>
  <c r="H101" i="28" s="1"/>
  <c r="Q99" i="24"/>
  <c r="B88" i="29" s="1"/>
  <c r="P100" i="24"/>
  <c r="F101" i="24"/>
  <c r="H101" i="24" s="1"/>
  <c r="K101" i="24" s="1"/>
  <c r="B102" i="24"/>
  <c r="G102" i="24" s="1"/>
  <c r="I101" i="24"/>
  <c r="L101" i="24" s="1"/>
  <c r="C101" i="24"/>
  <c r="M101" i="24" s="1"/>
  <c r="J100" i="24"/>
  <c r="O100" i="24"/>
  <c r="N99" i="24"/>
  <c r="P101" i="28" l="1"/>
  <c r="C102" i="28"/>
  <c r="M102" i="28" s="1"/>
  <c r="G102" i="28"/>
  <c r="I102" i="28" s="1"/>
  <c r="L102" i="28" s="1"/>
  <c r="F102" i="28"/>
  <c r="H102" i="28" s="1"/>
  <c r="B103" i="28"/>
  <c r="J101" i="28"/>
  <c r="K101" i="28"/>
  <c r="O101" i="28" s="1"/>
  <c r="N100" i="28"/>
  <c r="Q100" i="28"/>
  <c r="C89" i="29" s="1"/>
  <c r="F102" i="24"/>
  <c r="H102" i="24" s="1"/>
  <c r="K102" i="24" s="1"/>
  <c r="B103" i="24"/>
  <c r="G103" i="24" s="1"/>
  <c r="I102" i="24"/>
  <c r="L102" i="24" s="1"/>
  <c r="C102" i="24"/>
  <c r="M102" i="24" s="1"/>
  <c r="P101" i="24"/>
  <c r="J101" i="24"/>
  <c r="O101" i="24"/>
  <c r="Q100" i="24"/>
  <c r="B89" i="29" s="1"/>
  <c r="N100" i="24"/>
  <c r="G103" i="28" l="1"/>
  <c r="I103" i="28" s="1"/>
  <c r="L103" i="28" s="1"/>
  <c r="B104" i="28"/>
  <c r="C103" i="28"/>
  <c r="M103" i="28" s="1"/>
  <c r="F103" i="28"/>
  <c r="H103" i="28" s="1"/>
  <c r="J102" i="28"/>
  <c r="K102" i="28"/>
  <c r="O102" i="28" s="1"/>
  <c r="P102" i="28"/>
  <c r="N102" i="28"/>
  <c r="N101" i="28"/>
  <c r="Q101" i="28"/>
  <c r="C90" i="29" s="1"/>
  <c r="P102" i="24"/>
  <c r="Q101" i="24"/>
  <c r="B90" i="29" s="1"/>
  <c r="F103" i="24"/>
  <c r="H103" i="24" s="1"/>
  <c r="K103" i="24" s="1"/>
  <c r="B104" i="24"/>
  <c r="G104" i="24" s="1"/>
  <c r="I103" i="24"/>
  <c r="L103" i="24" s="1"/>
  <c r="C103" i="24"/>
  <c r="M103" i="24" s="1"/>
  <c r="N101" i="24"/>
  <c r="J102" i="24"/>
  <c r="O102" i="24"/>
  <c r="Q102" i="28" l="1"/>
  <c r="C91" i="29" s="1"/>
  <c r="J103" i="28"/>
  <c r="K103" i="28"/>
  <c r="O103" i="28" s="1"/>
  <c r="P103" i="28"/>
  <c r="G104" i="28"/>
  <c r="I104" i="28" s="1"/>
  <c r="L104" i="28" s="1"/>
  <c r="B105" i="28"/>
  <c r="C104" i="28"/>
  <c r="M104" i="28" s="1"/>
  <c r="F104" i="28"/>
  <c r="H104" i="28" s="1"/>
  <c r="P103" i="24"/>
  <c r="F104" i="24"/>
  <c r="H104" i="24" s="1"/>
  <c r="K104" i="24" s="1"/>
  <c r="B105" i="24"/>
  <c r="G105" i="24" s="1"/>
  <c r="I104" i="24"/>
  <c r="L104" i="24" s="1"/>
  <c r="C104" i="24"/>
  <c r="M104" i="24" s="1"/>
  <c r="J103" i="24"/>
  <c r="O103" i="24"/>
  <c r="Q102" i="24"/>
  <c r="B91" i="29" s="1"/>
  <c r="N102" i="24"/>
  <c r="N103" i="28" l="1"/>
  <c r="Q103" i="28"/>
  <c r="C92" i="29" s="1"/>
  <c r="J104" i="28"/>
  <c r="K104" i="28"/>
  <c r="O104" i="28" s="1"/>
  <c r="P104" i="28"/>
  <c r="C105" i="28"/>
  <c r="M105" i="28" s="1"/>
  <c r="B106" i="28"/>
  <c r="G105" i="28"/>
  <c r="I105" i="28" s="1"/>
  <c r="L105" i="28" s="1"/>
  <c r="F105" i="28"/>
  <c r="H105" i="28" s="1"/>
  <c r="F105" i="24"/>
  <c r="H105" i="24" s="1"/>
  <c r="K105" i="24" s="1"/>
  <c r="B106" i="24"/>
  <c r="G106" i="24" s="1"/>
  <c r="I105" i="24"/>
  <c r="L105" i="24" s="1"/>
  <c r="C105" i="24"/>
  <c r="M105" i="24" s="1"/>
  <c r="J104" i="24"/>
  <c r="O104" i="24"/>
  <c r="N104" i="24"/>
  <c r="P104" i="24"/>
  <c r="Q103" i="24"/>
  <c r="B92" i="29" s="1"/>
  <c r="N103" i="24"/>
  <c r="Q104" i="28" l="1"/>
  <c r="C93" i="29" s="1"/>
  <c r="N104" i="28"/>
  <c r="K105" i="28"/>
  <c r="O105" i="28" s="1"/>
  <c r="J105" i="28"/>
  <c r="P105" i="28"/>
  <c r="B107" i="28"/>
  <c r="F106" i="28"/>
  <c r="H106" i="28" s="1"/>
  <c r="G106" i="28"/>
  <c r="I106" i="28" s="1"/>
  <c r="L106" i="28" s="1"/>
  <c r="C106" i="28"/>
  <c r="M106" i="28" s="1"/>
  <c r="Q104" i="24"/>
  <c r="B93" i="29" s="1"/>
  <c r="P105" i="24"/>
  <c r="F106" i="24"/>
  <c r="H106" i="24" s="1"/>
  <c r="K106" i="24" s="1"/>
  <c r="B107" i="24"/>
  <c r="G107" i="24" s="1"/>
  <c r="I106" i="24"/>
  <c r="L106" i="24" s="1"/>
  <c r="C106" i="24"/>
  <c r="M106" i="24" s="1"/>
  <c r="J105" i="24"/>
  <c r="O105" i="24"/>
  <c r="N105" i="28" l="1"/>
  <c r="Q105" i="28"/>
  <c r="C94" i="29" s="1"/>
  <c r="J106" i="28"/>
  <c r="K106" i="28"/>
  <c r="O106" i="28" s="1"/>
  <c r="P106" i="28"/>
  <c r="G107" i="28"/>
  <c r="I107" i="28" s="1"/>
  <c r="L107" i="28" s="1"/>
  <c r="C107" i="28"/>
  <c r="M107" i="28" s="1"/>
  <c r="F107" i="28"/>
  <c r="H107" i="28" s="1"/>
  <c r="B108" i="28"/>
  <c r="F107" i="24"/>
  <c r="H107" i="24" s="1"/>
  <c r="K107" i="24" s="1"/>
  <c r="B108" i="24"/>
  <c r="G108" i="24" s="1"/>
  <c r="I107" i="24"/>
  <c r="L107" i="24" s="1"/>
  <c r="C107" i="24"/>
  <c r="M107" i="24" s="1"/>
  <c r="J106" i="24"/>
  <c r="O106" i="24"/>
  <c r="N106" i="24"/>
  <c r="P106" i="24"/>
  <c r="Q106" i="24" s="1"/>
  <c r="B95" i="29" s="1"/>
  <c r="Q105" i="24"/>
  <c r="B94" i="29" s="1"/>
  <c r="N105" i="24"/>
  <c r="N106" i="28" l="1"/>
  <c r="Q106" i="28"/>
  <c r="C95" i="29" s="1"/>
  <c r="C108" i="28"/>
  <c r="M108" i="28" s="1"/>
  <c r="G108" i="28"/>
  <c r="I108" i="28" s="1"/>
  <c r="L108" i="28" s="1"/>
  <c r="F108" i="28"/>
  <c r="H108" i="28" s="1"/>
  <c r="B109" i="28"/>
  <c r="P107" i="28"/>
  <c r="K107" i="28"/>
  <c r="O107" i="28" s="1"/>
  <c r="J107" i="28"/>
  <c r="P107" i="24"/>
  <c r="F108" i="24"/>
  <c r="H108" i="24" s="1"/>
  <c r="K108" i="24" s="1"/>
  <c r="B109" i="24"/>
  <c r="G109" i="24" s="1"/>
  <c r="I108" i="24"/>
  <c r="L108" i="24" s="1"/>
  <c r="C108" i="24"/>
  <c r="M108" i="24" s="1"/>
  <c r="J107" i="24"/>
  <c r="O107" i="24"/>
  <c r="N107" i="28" l="1"/>
  <c r="Q107" i="28"/>
  <c r="C96" i="29" s="1"/>
  <c r="G109" i="28"/>
  <c r="I109" i="28" s="1"/>
  <c r="L109" i="28" s="1"/>
  <c r="F109" i="28"/>
  <c r="H109" i="28" s="1"/>
  <c r="C109" i="28"/>
  <c r="M109" i="28" s="1"/>
  <c r="B110" i="28"/>
  <c r="J108" i="28"/>
  <c r="K108" i="28"/>
  <c r="O108" i="28" s="1"/>
  <c r="P108" i="28"/>
  <c r="N108" i="28"/>
  <c r="P108" i="24"/>
  <c r="F109" i="24"/>
  <c r="H109" i="24" s="1"/>
  <c r="K109" i="24" s="1"/>
  <c r="B110" i="24"/>
  <c r="G110" i="24" s="1"/>
  <c r="I109" i="24"/>
  <c r="L109" i="24" s="1"/>
  <c r="C109" i="24"/>
  <c r="M109" i="24" s="1"/>
  <c r="J108" i="24"/>
  <c r="O108" i="24"/>
  <c r="Q107" i="24"/>
  <c r="B96" i="29" s="1"/>
  <c r="N107" i="24"/>
  <c r="Q108" i="28" l="1"/>
  <c r="C97" i="29" s="1"/>
  <c r="G110" i="28"/>
  <c r="I110" i="28" s="1"/>
  <c r="L110" i="28" s="1"/>
  <c r="B111" i="28"/>
  <c r="C110" i="28"/>
  <c r="M110" i="28" s="1"/>
  <c r="F110" i="28"/>
  <c r="H110" i="28" s="1"/>
  <c r="P109" i="28"/>
  <c r="J109" i="28"/>
  <c r="K109" i="28"/>
  <c r="O109" i="28" s="1"/>
  <c r="F110" i="24"/>
  <c r="H110" i="24" s="1"/>
  <c r="K110" i="24" s="1"/>
  <c r="B111" i="24"/>
  <c r="G111" i="24" s="1"/>
  <c r="I110" i="24"/>
  <c r="L110" i="24" s="1"/>
  <c r="C110" i="24"/>
  <c r="M110" i="24" s="1"/>
  <c r="J109" i="24"/>
  <c r="O109" i="24"/>
  <c r="P109" i="24"/>
  <c r="Q108" i="24"/>
  <c r="B97" i="29" s="1"/>
  <c r="N108" i="24"/>
  <c r="Q109" i="28" l="1"/>
  <c r="C98" i="29" s="1"/>
  <c r="J110" i="28"/>
  <c r="K110" i="28"/>
  <c r="O110" i="28" s="1"/>
  <c r="P110" i="28"/>
  <c r="N110" i="28"/>
  <c r="C111" i="28"/>
  <c r="M111" i="28" s="1"/>
  <c r="B112" i="28"/>
  <c r="G111" i="28"/>
  <c r="I111" i="28" s="1"/>
  <c r="L111" i="28" s="1"/>
  <c r="F111" i="28"/>
  <c r="H111" i="28" s="1"/>
  <c r="N109" i="28"/>
  <c r="Q109" i="24"/>
  <c r="B98" i="29" s="1"/>
  <c r="N109" i="24"/>
  <c r="P110" i="24"/>
  <c r="F111" i="24"/>
  <c r="H111" i="24" s="1"/>
  <c r="K111" i="24" s="1"/>
  <c r="B112" i="24"/>
  <c r="G112" i="24" s="1"/>
  <c r="I111" i="24"/>
  <c r="L111" i="24" s="1"/>
  <c r="C111" i="24"/>
  <c r="M111" i="24" s="1"/>
  <c r="J110" i="24"/>
  <c r="O110" i="24"/>
  <c r="Q110" i="28" l="1"/>
  <c r="C99" i="29" s="1"/>
  <c r="B113" i="28"/>
  <c r="G112" i="28"/>
  <c r="I112" i="28" s="1"/>
  <c r="L112" i="28" s="1"/>
  <c r="F112" i="28"/>
  <c r="H112" i="28" s="1"/>
  <c r="C112" i="28"/>
  <c r="M112" i="28" s="1"/>
  <c r="P111" i="28"/>
  <c r="J111" i="28"/>
  <c r="K111" i="28"/>
  <c r="O111" i="28" s="1"/>
  <c r="F112" i="24"/>
  <c r="H112" i="24" s="1"/>
  <c r="K112" i="24" s="1"/>
  <c r="B113" i="24"/>
  <c r="G113" i="24" s="1"/>
  <c r="I112" i="24"/>
  <c r="L112" i="24" s="1"/>
  <c r="C112" i="24"/>
  <c r="M112" i="24" s="1"/>
  <c r="P111" i="24"/>
  <c r="J111" i="24"/>
  <c r="O111" i="24"/>
  <c r="Q110" i="24"/>
  <c r="B99" i="29" s="1"/>
  <c r="N110" i="24"/>
  <c r="N111" i="28" l="1"/>
  <c r="Q111" i="28"/>
  <c r="C100" i="29" s="1"/>
  <c r="P112" i="28"/>
  <c r="J112" i="28"/>
  <c r="K112" i="28"/>
  <c r="O112" i="28" s="1"/>
  <c r="G113" i="28"/>
  <c r="I113" i="28" s="1"/>
  <c r="L113" i="28" s="1"/>
  <c r="C113" i="28"/>
  <c r="M113" i="28" s="1"/>
  <c r="B114" i="28"/>
  <c r="F113" i="28"/>
  <c r="H113" i="28" s="1"/>
  <c r="N111" i="24"/>
  <c r="P112" i="24"/>
  <c r="Q111" i="24"/>
  <c r="B100" i="29" s="1"/>
  <c r="F113" i="24"/>
  <c r="H113" i="24" s="1"/>
  <c r="K113" i="24" s="1"/>
  <c r="B114" i="24"/>
  <c r="G114" i="24" s="1"/>
  <c r="I113" i="24"/>
  <c r="L113" i="24" s="1"/>
  <c r="C113" i="24"/>
  <c r="M113" i="24" s="1"/>
  <c r="J112" i="24"/>
  <c r="O112" i="24"/>
  <c r="K113" i="28" l="1"/>
  <c r="O113" i="28" s="1"/>
  <c r="J113" i="28"/>
  <c r="C114" i="28"/>
  <c r="M114" i="28" s="1"/>
  <c r="G114" i="28"/>
  <c r="I114" i="28" s="1"/>
  <c r="L114" i="28" s="1"/>
  <c r="F114" i="28"/>
  <c r="H114" i="28" s="1"/>
  <c r="P113" i="28"/>
  <c r="Q112" i="28"/>
  <c r="C101" i="29" s="1"/>
  <c r="N112" i="28"/>
  <c r="F114" i="24"/>
  <c r="H114" i="24" s="1"/>
  <c r="K114" i="24" s="1"/>
  <c r="I114" i="24"/>
  <c r="L114" i="24" s="1"/>
  <c r="C114" i="24"/>
  <c r="M114" i="24" s="1"/>
  <c r="P113" i="24"/>
  <c r="Q112" i="24"/>
  <c r="B101" i="29" s="1"/>
  <c r="J113" i="24"/>
  <c r="O113" i="24"/>
  <c r="N112" i="24"/>
  <c r="N113" i="28" l="1"/>
  <c r="Q113" i="28"/>
  <c r="C102" i="29" s="1"/>
  <c r="J114" i="28"/>
  <c r="K114" i="28"/>
  <c r="O114" i="28" s="1"/>
  <c r="P114" i="28"/>
  <c r="N113" i="24"/>
  <c r="P114" i="24"/>
  <c r="Q113" i="24"/>
  <c r="B102" i="29" s="1"/>
  <c r="J114" i="24"/>
  <c r="O114" i="24"/>
  <c r="N114" i="28" l="1"/>
  <c r="Q114" i="28"/>
  <c r="Q114" i="24"/>
  <c r="N114" i="24"/>
  <c r="C103" i="29" l="1"/>
  <c r="R10" i="24"/>
  <c r="B103" i="29"/>
</calcChain>
</file>

<file path=xl/sharedStrings.xml><?xml version="1.0" encoding="utf-8"?>
<sst xmlns="http://schemas.openxmlformats.org/spreadsheetml/2006/main" count="98" uniqueCount="34">
  <si>
    <t>X_i</t>
  </si>
  <si>
    <t>Y_i</t>
  </si>
  <si>
    <t>X_j</t>
  </si>
  <si>
    <t>Y_j</t>
  </si>
  <si>
    <t>B_j</t>
  </si>
  <si>
    <t>C_j</t>
  </si>
  <si>
    <t>Resolve</t>
  </si>
  <si>
    <t>Lambda</t>
  </si>
  <si>
    <t>Relative Hybrid</t>
  </si>
  <si>
    <t>Relative Conventional</t>
  </si>
  <si>
    <t>gains</t>
  </si>
  <si>
    <t>losses</t>
  </si>
  <si>
    <t>u(g)</t>
  </si>
  <si>
    <t>u(l)</t>
  </si>
  <si>
    <t>P(j)</t>
  </si>
  <si>
    <t>EU_j</t>
  </si>
  <si>
    <t>U(G) * Pj</t>
  </si>
  <si>
    <t>U(L)*(1-Pj)</t>
  </si>
  <si>
    <t>Threshold (s_t)</t>
  </si>
  <si>
    <t>Threshold s_t_0</t>
  </si>
  <si>
    <t>GAINS</t>
  </si>
  <si>
    <t>LOSSES</t>
  </si>
  <si>
    <t>Max EU_j</t>
  </si>
  <si>
    <t>GAINS - LOSSES</t>
  </si>
  <si>
    <t>X_i^0</t>
  </si>
  <si>
    <t>Y_i^0</t>
  </si>
  <si>
    <t>X_j^0</t>
  </si>
  <si>
    <t>Y_j^0</t>
  </si>
  <si>
    <t>X_i_Tot</t>
  </si>
  <si>
    <t>Y_i_Tot</t>
  </si>
  <si>
    <t>X_j_Tot</t>
  </si>
  <si>
    <t>Y_j_Tot</t>
  </si>
  <si>
    <t>Scenario 7a</t>
  </si>
  <si>
    <t xml:space="preserve">Scenario 7b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</si>
</sst>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2" fontId="0" fillId="0" borderId="0" xfId="0" applyNumberFormat="1"/>
    <xf numFmtId="43" fontId="0" fillId="0" borderId="0" xfId="1" applyFont="1"/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43" fontId="1" fillId="0" borderId="0" xfId="1" applyFont="1"/>
    <xf numFmtId="164" fontId="0" fillId="0" borderId="0" xfId="0" applyNumberFormat="1"/>
    <xf numFmtId="164" fontId="2" fillId="0" borderId="0" xfId="0" applyNumberFormat="1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/>
    <xf numFmtId="2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/>
    <xf numFmtId="0" fontId="2" fillId="0" borderId="1" xfId="0" applyFont="1" applyBorder="1"/>
    <xf numFmtId="9" fontId="0" fillId="0" borderId="0" xfId="2" applyFont="1"/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/>
              <a:t>Scenario</a:t>
            </a:r>
            <a:r>
              <a:rPr lang="fr-BE" baseline="0"/>
              <a:t> 7 - EU</a:t>
            </a:r>
            <a:r>
              <a:rPr lang="fr-BE" baseline="-25000"/>
              <a:t>j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Graph!$B$2</c:f>
              <c:strCache>
                <c:ptCount val="1"/>
                <c:pt idx="0">
                  <c:v>Scenario 7a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Graph!$A$3:$A$103</c:f>
              <c:numCache>
                <c:formatCode>0%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Graph!$B$3:$B$103</c:f>
              <c:numCache>
                <c:formatCode>General</c:formatCode>
                <c:ptCount val="101"/>
                <c:pt idx="0">
                  <c:v>196</c:v>
                </c:pt>
                <c:pt idx="1">
                  <c:v>196.01468009958256</c:v>
                </c:pt>
                <c:pt idx="2">
                  <c:v>196.05752780972207</c:v>
                </c:pt>
                <c:pt idx="3">
                  <c:v>196.12693132227966</c:v>
                </c:pt>
                <c:pt idx="4">
                  <c:v>196.22148613074049</c:v>
                </c:pt>
                <c:pt idx="5">
                  <c:v>196.33996350742981</c:v>
                </c:pt>
                <c:pt idx="6">
                  <c:v>196.48128361581763</c:v>
                </c:pt>
                <c:pt idx="7">
                  <c:v>196.64449252818008</c:v>
                </c:pt>
                <c:pt idx="8">
                  <c:v>196.82874254092027</c:v>
                </c:pt>
                <c:pt idx="9">
                  <c:v>197.03327527990859</c:v>
                </c:pt>
                <c:pt idx="10">
                  <c:v>197.25740717041009</c:v>
                </c:pt>
                <c:pt idx="11">
                  <c:v>197.50051691380236</c:v>
                </c:pt>
                <c:pt idx="12">
                  <c:v>197.76203466897744</c:v>
                </c:pt>
                <c:pt idx="13">
                  <c:v>198.04143268215685</c:v>
                </c:pt>
                <c:pt idx="14">
                  <c:v>198.33821714650122</c:v>
                </c:pt>
                <c:pt idx="15">
                  <c:v>198.65192110368315</c:v>
                </c:pt>
                <c:pt idx="16">
                  <c:v>198.98209822455345</c:v>
                </c:pt>
                <c:pt idx="17">
                  <c:v>199.32831732596185</c:v>
                </c:pt>
                <c:pt idx="18">
                  <c:v>199.69015749628903</c:v>
                </c:pt>
                <c:pt idx="19">
                  <c:v>200.06720371372106</c:v>
                </c:pt>
                <c:pt idx="20">
                  <c:v>200.45904284900098</c:v>
                </c:pt>
                <c:pt idx="21">
                  <c:v>200.86525994842381</c:v>
                </c:pt>
                <c:pt idx="22">
                  <c:v>201.28543469315065</c:v>
                </c:pt>
                <c:pt idx="23">
                  <c:v>201.71913792729941</c:v>
                </c:pt>
                <c:pt idx="24">
                  <c:v>202.16592813936978</c:v>
                </c:pt>
                <c:pt idx="25">
                  <c:v>202.62534776886116</c:v>
                </c:pt>
                <c:pt idx="26">
                  <c:v>203.09691919176072</c:v>
                </c:pt>
                <c:pt idx="27">
                  <c:v>203.58014021407479</c:v>
                </c:pt>
                <c:pt idx="28">
                  <c:v>204.07447887077154</c:v>
                </c:pt>
                <c:pt idx="29">
                  <c:v>204.57936728731784</c:v>
                </c:pt>
                <c:pt idx="30">
                  <c:v>205.09419431137133</c:v>
                </c:pt>
                <c:pt idx="31">
                  <c:v>205.61829656225041</c:v>
                </c:pt>
                <c:pt idx="32">
                  <c:v>206.15094747517924</c:v>
                </c:pt>
                <c:pt idx="33">
                  <c:v>206.69134383663143</c:v>
                </c:pt>
                <c:pt idx="34">
                  <c:v>207.23858921882865</c:v>
                </c:pt>
                <c:pt idx="35">
                  <c:v>207.79167363110673</c:v>
                </c:pt>
                <c:pt idx="36">
                  <c:v>208.34944862382167</c:v>
                </c:pt>
                <c:pt idx="37">
                  <c:v>208.9105970246105</c:v>
                </c:pt>
                <c:pt idx="38">
                  <c:v>209.47359648603501</c:v>
                </c:pt>
                <c:pt idx="39">
                  <c:v>210.03667612237166</c:v>
                </c:pt>
                <c:pt idx="40">
                  <c:v>210.59776577682118</c:v>
                </c:pt>
                <c:pt idx="41">
                  <c:v>211.1544379798041</c:v>
                </c:pt>
                <c:pt idx="42">
                  <c:v>211.70384355393395</c:v>
                </c:pt>
                <c:pt idx="43">
                  <c:v>212.24264323606599</c:v>
                </c:pt>
                <c:pt idx="44">
                  <c:v>212.76693977309978</c:v>
                </c:pt>
                <c:pt idx="45">
                  <c:v>213.27221782308217</c:v>
                </c:pt>
                <c:pt idx="46">
                  <c:v>213.75330266029948</c:v>
                </c:pt>
                <c:pt idx="47">
                  <c:v>214.20435290550842</c:v>
                </c:pt>
                <c:pt idx="48">
                  <c:v>214.61890662982904</c:v>
                </c:pt>
                <c:pt idx="49">
                  <c:v>214.99000296739874</c:v>
                </c:pt>
                <c:pt idx="50">
                  <c:v>215.31040088275918</c:v>
                </c:pt>
                <c:pt idx="51">
                  <c:v>215.57291051846326</c:v>
                </c:pt>
                <c:pt idx="52">
                  <c:v>215.77083827150318</c:v>
                </c:pt>
                <c:pt idx="53">
                  <c:v>215.89852349235051</c:v>
                </c:pt>
                <c:pt idx="54">
                  <c:v>215.95191465492042</c:v>
                </c:pt>
                <c:pt idx="55">
                  <c:v>215.9291026713517</c:v>
                </c:pt>
                <c:pt idx="56">
                  <c:v>215.83070956135725</c:v>
                </c:pt>
                <c:pt idx="57">
                  <c:v>215.66003379452258</c:v>
                </c:pt>
                <c:pt idx="58">
                  <c:v>215.42288639818975</c:v>
                </c:pt>
                <c:pt idx="59">
                  <c:v>215.12711085767427</c:v>
                </c:pt>
                <c:pt idx="60">
                  <c:v>214.78184913518342</c:v>
                </c:pt>
                <c:pt idx="61">
                  <c:v>214.39667291901881</c:v>
                </c:pt>
                <c:pt idx="62">
                  <c:v>213.98072387635986</c:v>
                </c:pt>
                <c:pt idx="63">
                  <c:v>213.54199236921534</c:v>
                </c:pt>
                <c:pt idx="64">
                  <c:v>213.08681930915202</c:v>
                </c:pt>
                <c:pt idx="65">
                  <c:v>212.61964890430335</c:v>
                </c:pt>
                <c:pt idx="66">
                  <c:v>212.1430097166683</c:v>
                </c:pt>
                <c:pt idx="67">
                  <c:v>211.65766938369308</c:v>
                </c:pt>
                <c:pt idx="68">
                  <c:v>211.16289701975842</c:v>
                </c:pt>
                <c:pt idx="69">
                  <c:v>210.65677228413125</c:v>
                </c:pt>
                <c:pt idx="70">
                  <c:v>210.1364942015407</c:v>
                </c:pt>
                <c:pt idx="71">
                  <c:v>209.59865947420684</c:v>
                </c:pt>
                <c:pt idx="72">
                  <c:v>209.03949488861377</c:v>
                </c:pt>
                <c:pt idx="73">
                  <c:v>208.45503952027843</c:v>
                </c:pt>
                <c:pt idx="74">
                  <c:v>207.84127951827099</c:v>
                </c:pt>
                <c:pt idx="75">
                  <c:v>207.19424197388363</c:v>
                </c:pt>
                <c:pt idx="76">
                  <c:v>206.51005571375339</c:v>
                </c:pt>
                <c:pt idx="77">
                  <c:v>205.7849867187015</c:v>
                </c:pt>
                <c:pt idx="78">
                  <c:v>205.01545495950384</c:v>
                </c:pt>
                <c:pt idx="79">
                  <c:v>204.19803823384913</c:v>
                </c:pt>
                <c:pt idx="80">
                  <c:v>203.32946736691079</c:v>
                </c:pt>
                <c:pt idx="81">
                  <c:v>202.40661604559506</c:v>
                </c:pt>
                <c:pt idx="82">
                  <c:v>201.42648764996324</c:v>
                </c:pt>
                <c:pt idx="83">
                  <c:v>200.38620073051374</c:v>
                </c:pt>
                <c:pt idx="84">
                  <c:v>199.28297423781265</c:v>
                </c:pt>
                <c:pt idx="85">
                  <c:v>198.11411321257168</c:v>
                </c:pt>
                <c:pt idx="86">
                  <c:v>196.87699535973235</c:v>
                </c:pt>
                <c:pt idx="87">
                  <c:v>195.569058732435</c:v>
                </c:pt>
                <c:pt idx="88">
                  <c:v>194.18779061844415</c:v>
                </c:pt>
                <c:pt idx="89">
                  <c:v>192.73071763485507</c:v>
                </c:pt>
                <c:pt idx="90">
                  <c:v>191.19539698310712</c:v>
                </c:pt>
                <c:pt idx="91">
                  <c:v>189.57940878533515</c:v>
                </c:pt>
                <c:pt idx="92">
                  <c:v>187.88034940752027</c:v>
                </c:pt>
                <c:pt idx="93">
                  <c:v>186.09582566948316</c:v>
                </c:pt>
                <c:pt idx="94">
                  <c:v>184.22344984278351</c:v>
                </c:pt>
                <c:pt idx="95">
                  <c:v>182.26083534248872</c:v>
                </c:pt>
                <c:pt idx="96">
                  <c:v>180.20559302582356</c:v>
                </c:pt>
                <c:pt idx="97">
                  <c:v>178.05532801874949</c:v>
                </c:pt>
                <c:pt idx="98">
                  <c:v>175.80763699981634</c:v>
                </c:pt>
                <c:pt idx="99">
                  <c:v>173.46010587870686</c:v>
                </c:pt>
                <c:pt idx="100">
                  <c:v>171.01030781449981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4D-479C-82CB-78948EABED46}"/>
            </c:ext>
          </c:extLst>
        </c:ser>
        <c:ser>
          <c:idx val="1"/>
          <c:order val="1"/>
          <c:tx>
            <c:strRef>
              <c:f>Graph!$C$2</c:f>
              <c:strCache>
                <c:ptCount val="1"/>
                <c:pt idx="0">
                  <c:v>Scenario 7b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Graph!$A$3:$A$103</c:f>
              <c:numCache>
                <c:formatCode>0%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Graph!$C$3:$C$103</c:f>
              <c:numCache>
                <c:formatCode>General</c:formatCode>
                <c:ptCount val="101"/>
                <c:pt idx="0">
                  <c:v>200</c:v>
                </c:pt>
                <c:pt idx="1">
                  <c:v>200.01421726486927</c:v>
                </c:pt>
                <c:pt idx="2">
                  <c:v>200.0540404193992</c:v>
                </c:pt>
                <c:pt idx="3">
                  <c:v>200.11582039673431</c:v>
                </c:pt>
                <c:pt idx="4">
                  <c:v>200.1965693472678</c:v>
                </c:pt>
                <c:pt idx="5">
                  <c:v>200.29382561853899</c:v>
                </c:pt>
                <c:pt idx="6">
                  <c:v>200.40554630179471</c:v>
                </c:pt>
                <c:pt idx="7">
                  <c:v>200.53002141215055</c:v>
                </c:pt>
                <c:pt idx="8">
                  <c:v>200.66580511410891</c:v>
                </c:pt>
                <c:pt idx="9">
                  <c:v>200.81166042937087</c:v>
                </c:pt>
                <c:pt idx="10">
                  <c:v>200.96651464890908</c:v>
                </c:pt>
                <c:pt idx="11">
                  <c:v>201.12942327506812</c:v>
                </c:pt>
                <c:pt idx="12">
                  <c:v>201.29954078589486</c:v>
                </c:pt>
                <c:pt idx="13">
                  <c:v>201.47609687581502</c:v>
                </c:pt>
                <c:pt idx="14">
                  <c:v>201.65837710885069</c:v>
                </c:pt>
                <c:pt idx="15">
                  <c:v>201.84570714148612</c:v>
                </c:pt>
                <c:pt idx="16">
                  <c:v>202.0374398462115</c:v>
                </c:pt>
                <c:pt idx="17">
                  <c:v>202.23294480455405</c:v>
                </c:pt>
                <c:pt idx="18">
                  <c:v>202.43159974838426</c:v>
                </c:pt>
                <c:pt idx="19">
                  <c:v>202.63278361694208</c:v>
                </c:pt>
                <c:pt idx="20">
                  <c:v>202.83587096946007</c:v>
                </c:pt>
                <c:pt idx="21">
                  <c:v>203.04022755351286</c:v>
                </c:pt>
                <c:pt idx="22">
                  <c:v>203.24520688061338</c:v>
                </c:pt>
                <c:pt idx="23">
                  <c:v>203.45014770585732</c:v>
                </c:pt>
                <c:pt idx="24">
                  <c:v>203.65437234998652</c:v>
                </c:pt>
                <c:pt idx="25">
                  <c:v>203.85718584225882</c:v>
                </c:pt>
                <c:pt idx="26">
                  <c:v>204.05787590300562</c:v>
                </c:pt>
                <c:pt idx="27">
                  <c:v>204.25571382772392</c:v>
                </c:pt>
                <c:pt idx="28">
                  <c:v>204.44995638199219</c:v>
                </c:pt>
                <c:pt idx="29">
                  <c:v>204.63984887046971</c:v>
                </c:pt>
                <c:pt idx="30">
                  <c:v>204.82462960580341</c:v>
                </c:pt>
                <c:pt idx="31">
                  <c:v>205.00353607640264</c:v>
                </c:pt>
                <c:pt idx="32">
                  <c:v>205.17581319741987</c:v>
                </c:pt>
                <c:pt idx="33">
                  <c:v>205.34072412784684</c:v>
                </c:pt>
                <c:pt idx="34">
                  <c:v>205.49756424791923</c:v>
                </c:pt>
                <c:pt idx="35">
                  <c:v>205.64567901199942</c:v>
                </c:pt>
                <c:pt idx="36">
                  <c:v>205.78448651545409</c:v>
                </c:pt>
                <c:pt idx="37">
                  <c:v>205.91350572556291</c:v>
                </c:pt>
                <c:pt idx="38">
                  <c:v>206.03239140144012</c:v>
                </c:pt>
                <c:pt idx="39">
                  <c:v>206.14097672608139</c:v>
                </c:pt>
                <c:pt idx="40">
                  <c:v>206.23932453309345</c:v>
                </c:pt>
                <c:pt idx="41">
                  <c:v>206.32778764118626</c:v>
                </c:pt>
                <c:pt idx="42">
                  <c:v>206.40707808694498</c:v>
                </c:pt>
                <c:pt idx="43">
                  <c:v>206.47834381206394</c:v>
                </c:pt>
                <c:pt idx="44">
                  <c:v>206.54324943306881</c:v>
                </c:pt>
                <c:pt idx="45">
                  <c:v>206.6040549281314</c:v>
                </c:pt>
                <c:pt idx="46">
                  <c:v>206.66368232750165</c:v>
                </c:pt>
                <c:pt idx="47">
                  <c:v>206.72575590811414</c:v>
                </c:pt>
                <c:pt idx="48">
                  <c:v>206.79459647384829</c:v>
                </c:pt>
                <c:pt idx="49">
                  <c:v>206.8751461578816</c:v>
                </c:pt>
                <c:pt idx="50">
                  <c:v>206.97279868391183</c:v>
                </c:pt>
                <c:pt idx="51">
                  <c:v>207.09311374270669</c:v>
                </c:pt>
                <c:pt idx="52">
                  <c:v>207.24140582952776</c:v>
                </c:pt>
                <c:pt idx="53">
                  <c:v>207.42221927908051</c:v>
                </c:pt>
                <c:pt idx="54">
                  <c:v>207.63873126407438</c:v>
                </c:pt>
                <c:pt idx="55">
                  <c:v>207.89215763133296</c:v>
                </c:pt>
                <c:pt idx="56">
                  <c:v>208.18126227658655</c:v>
                </c:pt>
                <c:pt idx="57">
                  <c:v>208.5020766523503</c:v>
                </c:pt>
                <c:pt idx="58">
                  <c:v>208.84791255141036</c:v>
                </c:pt>
                <c:pt idx="59">
                  <c:v>209.20969873771583</c:v>
                </c:pt>
                <c:pt idx="60">
                  <c:v>209.57660325264362</c:v>
                </c:pt>
                <c:pt idx="61">
                  <c:v>209.93684032149244</c:v>
                </c:pt>
                <c:pt idx="62">
                  <c:v>210.27852514374408</c:v>
                </c:pt>
                <c:pt idx="63">
                  <c:v>210.59044206560344</c:v>
                </c:pt>
                <c:pt idx="64">
                  <c:v>210.8626270830012</c:v>
                </c:pt>
                <c:pt idx="65">
                  <c:v>211.08671829139917</c:v>
                </c:pt>
                <c:pt idx="66">
                  <c:v>211.256079145489</c:v>
                </c:pt>
                <c:pt idx="67">
                  <c:v>211.36573590903095</c:v>
                </c:pt>
                <c:pt idx="68">
                  <c:v>211.41218779403121</c:v>
                </c:pt>
                <c:pt idx="69">
                  <c:v>211.39314859714585</c:v>
                </c:pt>
                <c:pt idx="70">
                  <c:v>211.30726832739924</c:v>
                </c:pt>
                <c:pt idx="71">
                  <c:v>211.15386875618648</c:v>
                </c:pt>
                <c:pt idx="72">
                  <c:v>210.9327126430222</c:v>
                </c:pt>
                <c:pt idx="73">
                  <c:v>210.64381505275728</c:v>
                </c:pt>
                <c:pt idx="74">
                  <c:v>210.28729739007221</c:v>
                </c:pt>
                <c:pt idx="75">
                  <c:v>209.86328019935951</c:v>
                </c:pt>
                <c:pt idx="76">
                  <c:v>209.37180864012217</c:v>
                </c:pt>
                <c:pt idx="77">
                  <c:v>208.81280402870783</c:v>
                </c:pt>
                <c:pt idx="78">
                  <c:v>208.1860352547929</c:v>
                </c:pt>
                <c:pt idx="79">
                  <c:v>207.4911047468411</c:v>
                </c:pt>
                <c:pt idx="80">
                  <c:v>206.72744466331633</c:v>
                </c:pt>
                <c:pt idx="81">
                  <c:v>205.89431994974521</c:v>
                </c:pt>
                <c:pt idx="82">
                  <c:v>204.99083574172042</c:v>
                </c:pt>
                <c:pt idx="83">
                  <c:v>204.01594728284167</c:v>
                </c:pt>
                <c:pt idx="84">
                  <c:v>202.96847106762812</c:v>
                </c:pt>
                <c:pt idx="85">
                  <c:v>201.84709633044781</c:v>
                </c:pt>
                <c:pt idx="86">
                  <c:v>200.65039630528707</c:v>
                </c:pt>
                <c:pt idx="87">
                  <c:v>199.37683890027816</c:v>
                </c:pt>
                <c:pt idx="88">
                  <c:v>198.02479658522594</c:v>
                </c:pt>
                <c:pt idx="89">
                  <c:v>196.59255539637977</c:v>
                </c:pt>
                <c:pt idx="90">
                  <c:v>195.07832303340498</c:v>
                </c:pt>
                <c:pt idx="91">
                  <c:v>193.48023606892224</c:v>
                </c:pt>
                <c:pt idx="92">
                  <c:v>191.79636631858355</c:v>
                </c:pt>
                <c:pt idx="93">
                  <c:v>190.02472643496662</c:v>
                </c:pt>
                <c:pt idx="94">
                  <c:v>188.16327479556847</c:v>
                </c:pt>
                <c:pt idx="95">
                  <c:v>186.20991975672598</c:v>
                </c:pt>
                <c:pt idx="96">
                  <c:v>184.16252334337872</c:v>
                </c:pt>
                <c:pt idx="97">
                  <c:v>182.01890444060686</c:v>
                </c:pt>
                <c:pt idx="98">
                  <c:v>179.77684154777643</c:v>
                </c:pt>
                <c:pt idx="99">
                  <c:v>177.43407515052709</c:v>
                </c:pt>
                <c:pt idx="100">
                  <c:v>174.98830976016683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4D-479C-82CB-78948EABE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988015"/>
        <c:axId val="140989455"/>
      </c:scatterChart>
      <c:valAx>
        <c:axId val="14098801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0989455"/>
        <c:crosses val="autoZero"/>
        <c:crossBetween val="midCat"/>
      </c:valAx>
      <c:valAx>
        <c:axId val="140989455"/>
        <c:scaling>
          <c:orientation val="minMax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0988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777240</xdr:colOff>
      <xdr:row>20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4644258-8557-4092-BB62-3B4AE031CC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0.53788</cdr:x>
      <cdr:y>0.17284</cdr:y>
    </cdr:from>
    <cdr:to>
      <cdr:x>0.53788</cdr:x>
      <cdr:y>0.83333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B7811016-444E-07D2-E87F-9164BE62BFF1}"/>
            </a:ext>
          </a:extLst>
        </cdr:cNvPr>
        <cdr:cNvCxnSpPr/>
      </cdr:nvCxnSpPr>
      <cdr:spPr>
        <a:xfrm xmlns:a="http://schemas.openxmlformats.org/drawingml/2006/main">
          <a:off x="2982660" y="609602"/>
          <a:ext cx="0" cy="232953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0.44709</cdr:x>
      <cdr:y>0.5463</cdr:y>
    </cdr:from>
    <cdr:to>
      <cdr:x>0.53788</cdr:x>
      <cdr:y>0.61111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47CFC8D1-804E-7FC4-25BF-9E6E799EDA43}"/>
            </a:ext>
          </a:extLst>
        </cdr:cNvPr>
        <cdr:cNvSpPr/>
      </cdr:nvSpPr>
      <cdr:spPr>
        <a:xfrm xmlns:a="http://schemas.openxmlformats.org/drawingml/2006/main">
          <a:off x="2459936" y="1900412"/>
          <a:ext cx="499554" cy="225454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fr-BE" kern="1200"/>
            <a:t>54 %</a:t>
          </a:r>
        </a:p>
      </cdr:txBody>
    </cdr:sp>
  </cdr:relSizeAnchor>
  <cdr:relSizeAnchor xmlns:cdr="http://schemas.openxmlformats.org/drawingml/2006/chartDrawing">
    <cdr:from>
      <cdr:x>0.67072</cdr:x>
      <cdr:y>0.21605</cdr:y>
    </cdr:from>
    <cdr:to>
      <cdr:x>0.67138</cdr:x>
      <cdr:y>0.83024</cdr:y>
    </cdr:to>
    <cdr:cxnSp macro="">
      <cdr:nvCxnSpPr>
        <cdr:cNvPr id="5" name="Connecteur droit 4">
          <a:extLst xmlns:a="http://schemas.openxmlformats.org/drawingml/2006/main">
            <a:ext uri="{FF2B5EF4-FFF2-40B4-BE49-F238E27FC236}">
              <a16:creationId xmlns:a16="http://schemas.microsoft.com/office/drawing/2014/main" id="{DBBE83E5-040A-758B-460F-DDD563EB0B3B}"/>
            </a:ext>
          </a:extLst>
        </cdr:cNvPr>
        <cdr:cNvCxnSpPr/>
      </cdr:nvCxnSpPr>
      <cdr:spPr>
        <a:xfrm xmlns:a="http://schemas.openxmlformats.org/drawingml/2006/main">
          <a:off x="3719269" y="762016"/>
          <a:ext cx="3660" cy="216623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0.67413</cdr:x>
      <cdr:y>0.53909</cdr:y>
    </cdr:from>
    <cdr:to>
      <cdr:x>0.7617</cdr:x>
      <cdr:y>0.60391</cdr:y>
    </cdr:to>
    <cdr:sp macro="" textlink="">
      <cdr:nvSpPr>
        <cdr:cNvPr id="6" name="Rectangle 5">
          <a:extLst xmlns:a="http://schemas.openxmlformats.org/drawingml/2006/main">
            <a:ext uri="{FF2B5EF4-FFF2-40B4-BE49-F238E27FC236}">
              <a16:creationId xmlns:a16="http://schemas.microsoft.com/office/drawing/2014/main" id="{AA2B30A9-694A-6401-77E4-228E19D0AE88}"/>
            </a:ext>
          </a:extLst>
        </cdr:cNvPr>
        <cdr:cNvSpPr/>
      </cdr:nvSpPr>
      <cdr:spPr>
        <a:xfrm xmlns:a="http://schemas.openxmlformats.org/drawingml/2006/main">
          <a:off x="3709156" y="1875330"/>
          <a:ext cx="481844" cy="225489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2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BE" kern="1200"/>
            <a:t>68</a:t>
          </a:r>
          <a:r>
            <a:rPr lang="fr-BE" kern="1200" baseline="0"/>
            <a:t> </a:t>
          </a:r>
          <a:r>
            <a:rPr lang="fr-BE" kern="1200"/>
            <a:t>%</a:t>
          </a:r>
        </a:p>
      </cdr:txBody>
    </cdr:sp>
  </cdr:relSizeAnchor>
</c:userShap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C528D-F290-4D70-AF4D-AC5B7F1DC08E}">
  <dimension ref="A2:C103"/>
  <sheetViews>
    <sheetView tabSelected="1" zoomScale="115" zoomScaleNormal="115" workbookViewId="0">
      <selection activeCell="G24" sqref="G24"/>
    </sheetView>
  </sheetViews>
  <sheetFormatPr baseColWidth="10" defaultRowHeight="14.4" x14ac:dyDescent="0.3"/>
  <sheetData>
    <row r="2" spans="1:3" ht="15.6" x14ac:dyDescent="0.35">
      <c r="B2" t="s">
        <v>32</v>
      </c>
      <c r="C2" t="s">
        <v>33</v>
      </c>
    </row>
    <row r="3" spans="1:3" x14ac:dyDescent="0.3">
      <c r="A3" s="17">
        <v>0</v>
      </c>
      <c r="B3">
        <f>'Scenario 7'!Q14</f>
        <v>196</v>
      </c>
      <c r="C3">
        <f>'Scenario 7a'!Q14</f>
        <v>200</v>
      </c>
    </row>
    <row r="4" spans="1:3" x14ac:dyDescent="0.3">
      <c r="A4" s="17">
        <v>0.01</v>
      </c>
      <c r="B4">
        <f>'Scenario 7'!Q15</f>
        <v>196.01468009958256</v>
      </c>
      <c r="C4">
        <f>'Scenario 7a'!Q15</f>
        <v>200.01421726486927</v>
      </c>
    </row>
    <row r="5" spans="1:3" x14ac:dyDescent="0.3">
      <c r="A5" s="17">
        <v>0.02</v>
      </c>
      <c r="B5">
        <f>'Scenario 7'!Q16</f>
        <v>196.05752780972207</v>
      </c>
      <c r="C5">
        <f>'Scenario 7a'!Q16</f>
        <v>200.0540404193992</v>
      </c>
    </row>
    <row r="6" spans="1:3" x14ac:dyDescent="0.3">
      <c r="A6" s="17">
        <v>0.03</v>
      </c>
      <c r="B6">
        <f>'Scenario 7'!Q17</f>
        <v>196.12693132227966</v>
      </c>
      <c r="C6">
        <f>'Scenario 7a'!Q17</f>
        <v>200.11582039673431</v>
      </c>
    </row>
    <row r="7" spans="1:3" x14ac:dyDescent="0.3">
      <c r="A7" s="17">
        <v>0.04</v>
      </c>
      <c r="B7">
        <f>'Scenario 7'!Q18</f>
        <v>196.22148613074049</v>
      </c>
      <c r="C7">
        <f>'Scenario 7a'!Q18</f>
        <v>200.1965693472678</v>
      </c>
    </row>
    <row r="8" spans="1:3" x14ac:dyDescent="0.3">
      <c r="A8" s="17">
        <v>0.05</v>
      </c>
      <c r="B8">
        <f>'Scenario 7'!Q19</f>
        <v>196.33996350742981</v>
      </c>
      <c r="C8">
        <f>'Scenario 7a'!Q19</f>
        <v>200.29382561853899</v>
      </c>
    </row>
    <row r="9" spans="1:3" x14ac:dyDescent="0.3">
      <c r="A9" s="17">
        <v>6.0000000000000005E-2</v>
      </c>
      <c r="B9">
        <f>'Scenario 7'!Q20</f>
        <v>196.48128361581763</v>
      </c>
      <c r="C9">
        <f>'Scenario 7a'!Q20</f>
        <v>200.40554630179471</v>
      </c>
    </row>
    <row r="10" spans="1:3" x14ac:dyDescent="0.3">
      <c r="A10" s="17">
        <v>7.0000000000000007E-2</v>
      </c>
      <c r="B10">
        <f>'Scenario 7'!Q21</f>
        <v>196.64449252818008</v>
      </c>
      <c r="C10">
        <f>'Scenario 7a'!Q21</f>
        <v>200.53002141215055</v>
      </c>
    </row>
    <row r="11" spans="1:3" x14ac:dyDescent="0.3">
      <c r="A11" s="17">
        <v>0.08</v>
      </c>
      <c r="B11">
        <f>'Scenario 7'!Q22</f>
        <v>196.82874254092027</v>
      </c>
      <c r="C11">
        <f>'Scenario 7a'!Q22</f>
        <v>200.66580511410891</v>
      </c>
    </row>
    <row r="12" spans="1:3" x14ac:dyDescent="0.3">
      <c r="A12" s="17">
        <v>0.09</v>
      </c>
      <c r="B12">
        <f>'Scenario 7'!Q23</f>
        <v>197.03327527990859</v>
      </c>
      <c r="C12">
        <f>'Scenario 7a'!Q23</f>
        <v>200.81166042937087</v>
      </c>
    </row>
    <row r="13" spans="1:3" x14ac:dyDescent="0.3">
      <c r="A13" s="17">
        <v>9.9999999999999992E-2</v>
      </c>
      <c r="B13">
        <f>'Scenario 7'!Q24</f>
        <v>197.25740717041009</v>
      </c>
      <c r="C13">
        <f>'Scenario 7a'!Q24</f>
        <v>200.96651464890908</v>
      </c>
    </row>
    <row r="14" spans="1:3" x14ac:dyDescent="0.3">
      <c r="A14" s="17">
        <v>0.10999999999999999</v>
      </c>
      <c r="B14">
        <f>'Scenario 7'!Q25</f>
        <v>197.50051691380236</v>
      </c>
      <c r="C14">
        <f>'Scenario 7a'!Q25</f>
        <v>201.12942327506812</v>
      </c>
    </row>
    <row r="15" spans="1:3" x14ac:dyDescent="0.3">
      <c r="A15" s="17">
        <v>0.11999999999999998</v>
      </c>
      <c r="B15">
        <f>'Scenario 7'!Q26</f>
        <v>197.76203466897744</v>
      </c>
      <c r="C15">
        <f>'Scenario 7a'!Q26</f>
        <v>201.29954078589486</v>
      </c>
    </row>
    <row r="16" spans="1:3" x14ac:dyDescent="0.3">
      <c r="A16" s="17">
        <v>0.12999999999999998</v>
      </c>
      <c r="B16">
        <f>'Scenario 7'!Q27</f>
        <v>198.04143268215685</v>
      </c>
      <c r="C16">
        <f>'Scenario 7a'!Q27</f>
        <v>201.47609687581502</v>
      </c>
    </row>
    <row r="17" spans="1:3" x14ac:dyDescent="0.3">
      <c r="A17" s="17">
        <v>0.13999999999999999</v>
      </c>
      <c r="B17">
        <f>'Scenario 7'!Q28</f>
        <v>198.33821714650122</v>
      </c>
      <c r="C17">
        <f>'Scenario 7a'!Q28</f>
        <v>201.65837710885069</v>
      </c>
    </row>
    <row r="18" spans="1:3" x14ac:dyDescent="0.3">
      <c r="A18" s="17">
        <v>0.15</v>
      </c>
      <c r="B18">
        <f>'Scenario 7'!Q29</f>
        <v>198.65192110368315</v>
      </c>
      <c r="C18">
        <f>'Scenario 7a'!Q29</f>
        <v>201.84570714148612</v>
      </c>
    </row>
    <row r="19" spans="1:3" x14ac:dyDescent="0.3">
      <c r="A19" s="17">
        <v>0.16</v>
      </c>
      <c r="B19">
        <f>'Scenario 7'!Q30</f>
        <v>198.98209822455345</v>
      </c>
      <c r="C19">
        <f>'Scenario 7a'!Q30</f>
        <v>202.0374398462115</v>
      </c>
    </row>
    <row r="20" spans="1:3" x14ac:dyDescent="0.3">
      <c r="A20" s="17">
        <v>0.17</v>
      </c>
      <c r="B20">
        <f>'Scenario 7'!Q31</f>
        <v>199.32831732596185</v>
      </c>
      <c r="C20">
        <f>'Scenario 7a'!Q31</f>
        <v>202.23294480455405</v>
      </c>
    </row>
    <row r="21" spans="1:3" x14ac:dyDescent="0.3">
      <c r="A21" s="17">
        <v>0.18000000000000002</v>
      </c>
      <c r="B21">
        <f>'Scenario 7'!Q32</f>
        <v>199.69015749628903</v>
      </c>
      <c r="C21">
        <f>'Scenario 7a'!Q32</f>
        <v>202.43159974838426</v>
      </c>
    </row>
    <row r="22" spans="1:3" x14ac:dyDescent="0.3">
      <c r="A22" s="17">
        <v>0.19000000000000003</v>
      </c>
      <c r="B22">
        <f>'Scenario 7'!Q33</f>
        <v>200.06720371372106</v>
      </c>
      <c r="C22">
        <f>'Scenario 7a'!Q33</f>
        <v>202.63278361694208</v>
      </c>
    </row>
    <row r="23" spans="1:3" x14ac:dyDescent="0.3">
      <c r="A23" s="17">
        <v>0.20000000000000004</v>
      </c>
      <c r="B23">
        <f>'Scenario 7'!Q34</f>
        <v>200.45904284900098</v>
      </c>
      <c r="C23">
        <f>'Scenario 7a'!Q34</f>
        <v>202.83587096946007</v>
      </c>
    </row>
    <row r="24" spans="1:3" x14ac:dyDescent="0.3">
      <c r="A24" s="17">
        <v>0.21000000000000005</v>
      </c>
      <c r="B24">
        <f>'Scenario 7'!Q35</f>
        <v>200.86525994842381</v>
      </c>
      <c r="C24">
        <f>'Scenario 7a'!Q35</f>
        <v>203.04022755351286</v>
      </c>
    </row>
    <row r="25" spans="1:3" x14ac:dyDescent="0.3">
      <c r="A25" s="17">
        <v>0.22000000000000006</v>
      </c>
      <c r="B25">
        <f>'Scenario 7'!Q36</f>
        <v>201.28543469315065</v>
      </c>
      <c r="C25">
        <f>'Scenario 7a'!Q36</f>
        <v>203.24520688061338</v>
      </c>
    </row>
    <row r="26" spans="1:3" x14ac:dyDescent="0.3">
      <c r="A26" s="17">
        <v>0.23000000000000007</v>
      </c>
      <c r="B26">
        <f>'Scenario 7'!Q37</f>
        <v>201.71913792729941</v>
      </c>
      <c r="C26">
        <f>'Scenario 7a'!Q37</f>
        <v>203.45014770585732</v>
      </c>
    </row>
    <row r="27" spans="1:3" x14ac:dyDescent="0.3">
      <c r="A27" s="17">
        <v>0.24000000000000007</v>
      </c>
      <c r="B27">
        <f>'Scenario 7'!Q38</f>
        <v>202.16592813936978</v>
      </c>
      <c r="C27">
        <f>'Scenario 7a'!Q38</f>
        <v>203.65437234998652</v>
      </c>
    </row>
    <row r="28" spans="1:3" x14ac:dyDescent="0.3">
      <c r="A28" s="17">
        <v>0.25000000000000006</v>
      </c>
      <c r="B28">
        <f>'Scenario 7'!Q39</f>
        <v>202.62534776886116</v>
      </c>
      <c r="C28">
        <f>'Scenario 7a'!Q39</f>
        <v>203.85718584225882</v>
      </c>
    </row>
    <row r="29" spans="1:3" x14ac:dyDescent="0.3">
      <c r="A29" s="17">
        <v>0.26000000000000006</v>
      </c>
      <c r="B29">
        <f>'Scenario 7'!Q40</f>
        <v>203.09691919176072</v>
      </c>
      <c r="C29">
        <f>'Scenario 7a'!Q40</f>
        <v>204.05787590300562</v>
      </c>
    </row>
    <row r="30" spans="1:3" x14ac:dyDescent="0.3">
      <c r="A30" s="17">
        <v>0.27000000000000007</v>
      </c>
      <c r="B30">
        <f>'Scenario 7'!Q41</f>
        <v>203.58014021407479</v>
      </c>
      <c r="C30">
        <f>'Scenario 7a'!Q41</f>
        <v>204.25571382772392</v>
      </c>
    </row>
    <row r="31" spans="1:3" x14ac:dyDescent="0.3">
      <c r="A31" s="17">
        <v>0.28000000000000008</v>
      </c>
      <c r="B31">
        <f>'Scenario 7'!Q42</f>
        <v>204.07447887077154</v>
      </c>
      <c r="C31">
        <f>'Scenario 7a'!Q42</f>
        <v>204.44995638199219</v>
      </c>
    </row>
    <row r="32" spans="1:3" x14ac:dyDescent="0.3">
      <c r="A32" s="17">
        <v>0.29000000000000009</v>
      </c>
      <c r="B32">
        <f>'Scenario 7'!Q43</f>
        <v>204.57936728731784</v>
      </c>
      <c r="C32">
        <f>'Scenario 7a'!Q43</f>
        <v>204.63984887046971</v>
      </c>
    </row>
    <row r="33" spans="1:3" x14ac:dyDescent="0.3">
      <c r="A33" s="17">
        <v>0.3000000000000001</v>
      </c>
      <c r="B33">
        <f>'Scenario 7'!Q44</f>
        <v>205.09419431137133</v>
      </c>
      <c r="C33">
        <f>'Scenario 7a'!Q44</f>
        <v>204.82462960580341</v>
      </c>
    </row>
    <row r="34" spans="1:3" x14ac:dyDescent="0.3">
      <c r="A34" s="17">
        <v>0.31000000000000011</v>
      </c>
      <c r="B34">
        <f>'Scenario 7'!Q45</f>
        <v>205.61829656225041</v>
      </c>
      <c r="C34">
        <f>'Scenario 7a'!Q45</f>
        <v>205.00353607640264</v>
      </c>
    </row>
    <row r="35" spans="1:3" x14ac:dyDescent="0.3">
      <c r="A35" s="17">
        <v>0.32000000000000012</v>
      </c>
      <c r="B35">
        <f>'Scenario 7'!Q46</f>
        <v>206.15094747517924</v>
      </c>
      <c r="C35">
        <f>'Scenario 7a'!Q46</f>
        <v>205.17581319741987</v>
      </c>
    </row>
    <row r="36" spans="1:3" x14ac:dyDescent="0.3">
      <c r="A36" s="17">
        <v>0.33000000000000013</v>
      </c>
      <c r="B36">
        <f>'Scenario 7'!Q47</f>
        <v>206.69134383663143</v>
      </c>
      <c r="C36">
        <f>'Scenario 7a'!Q47</f>
        <v>205.34072412784684</v>
      </c>
    </row>
    <row r="37" spans="1:3" x14ac:dyDescent="0.3">
      <c r="A37" s="17">
        <v>0.34000000000000014</v>
      </c>
      <c r="B37">
        <f>'Scenario 7'!Q48</f>
        <v>207.23858921882865</v>
      </c>
      <c r="C37">
        <f>'Scenario 7a'!Q48</f>
        <v>205.49756424791923</v>
      </c>
    </row>
    <row r="38" spans="1:3" x14ac:dyDescent="0.3">
      <c r="A38" s="17">
        <v>0.35000000000000014</v>
      </c>
      <c r="B38">
        <f>'Scenario 7'!Q49</f>
        <v>207.79167363110673</v>
      </c>
      <c r="C38">
        <f>'Scenario 7a'!Q49</f>
        <v>205.64567901199942</v>
      </c>
    </row>
    <row r="39" spans="1:3" x14ac:dyDescent="0.3">
      <c r="A39" s="17">
        <v>0.36000000000000015</v>
      </c>
      <c r="B39">
        <f>'Scenario 7'!Q50</f>
        <v>208.34944862382167</v>
      </c>
      <c r="C39">
        <f>'Scenario 7a'!Q50</f>
        <v>205.78448651545409</v>
      </c>
    </row>
    <row r="40" spans="1:3" x14ac:dyDescent="0.3">
      <c r="A40" s="17">
        <v>0.37000000000000016</v>
      </c>
      <c r="B40">
        <f>'Scenario 7'!Q51</f>
        <v>208.9105970246105</v>
      </c>
      <c r="C40">
        <f>'Scenario 7a'!Q51</f>
        <v>205.91350572556291</v>
      </c>
    </row>
    <row r="41" spans="1:3" x14ac:dyDescent="0.3">
      <c r="A41" s="17">
        <v>0.38000000000000017</v>
      </c>
      <c r="B41">
        <f>'Scenario 7'!Q52</f>
        <v>209.47359648603501</v>
      </c>
      <c r="C41">
        <f>'Scenario 7a'!Q52</f>
        <v>206.03239140144012</v>
      </c>
    </row>
    <row r="42" spans="1:3" x14ac:dyDescent="0.3">
      <c r="A42" s="17">
        <v>0.39000000000000018</v>
      </c>
      <c r="B42">
        <f>'Scenario 7'!Q53</f>
        <v>210.03667612237166</v>
      </c>
      <c r="C42">
        <f>'Scenario 7a'!Q53</f>
        <v>206.14097672608139</v>
      </c>
    </row>
    <row r="43" spans="1:3" x14ac:dyDescent="0.3">
      <c r="A43" s="17">
        <v>0.40000000000000019</v>
      </c>
      <c r="B43">
        <f>'Scenario 7'!Q54</f>
        <v>210.59776577682118</v>
      </c>
      <c r="C43">
        <f>'Scenario 7a'!Q54</f>
        <v>206.23932453309345</v>
      </c>
    </row>
    <row r="44" spans="1:3" x14ac:dyDescent="0.3">
      <c r="A44" s="17">
        <v>0.4100000000000002</v>
      </c>
      <c r="B44">
        <f>'Scenario 7'!Q55</f>
        <v>211.1544379798041</v>
      </c>
      <c r="C44">
        <f>'Scenario 7a'!Q55</f>
        <v>206.32778764118626</v>
      </c>
    </row>
    <row r="45" spans="1:3" x14ac:dyDescent="0.3">
      <c r="A45" s="17">
        <v>0.42000000000000021</v>
      </c>
      <c r="B45">
        <f>'Scenario 7'!Q56</f>
        <v>211.70384355393395</v>
      </c>
      <c r="C45">
        <f>'Scenario 7a'!Q56</f>
        <v>206.40707808694498</v>
      </c>
    </row>
    <row r="46" spans="1:3" x14ac:dyDescent="0.3">
      <c r="A46" s="17">
        <v>0.43000000000000022</v>
      </c>
      <c r="B46">
        <f>'Scenario 7'!Q57</f>
        <v>212.24264323606599</v>
      </c>
      <c r="C46">
        <f>'Scenario 7a'!Q57</f>
        <v>206.47834381206394</v>
      </c>
    </row>
    <row r="47" spans="1:3" x14ac:dyDescent="0.3">
      <c r="A47" s="17">
        <v>0.44000000000000022</v>
      </c>
      <c r="B47">
        <f>'Scenario 7'!Q58</f>
        <v>212.76693977309978</v>
      </c>
      <c r="C47">
        <f>'Scenario 7a'!Q58</f>
        <v>206.54324943306881</v>
      </c>
    </row>
    <row r="48" spans="1:3" x14ac:dyDescent="0.3">
      <c r="A48" s="17">
        <v>0.45000000000000023</v>
      </c>
      <c r="B48">
        <f>'Scenario 7'!Q59</f>
        <v>213.27221782308217</v>
      </c>
      <c r="C48">
        <f>'Scenario 7a'!Q59</f>
        <v>206.6040549281314</v>
      </c>
    </row>
    <row r="49" spans="1:3" x14ac:dyDescent="0.3">
      <c r="A49" s="17">
        <v>0.46000000000000024</v>
      </c>
      <c r="B49">
        <f>'Scenario 7'!Q60</f>
        <v>213.75330266029948</v>
      </c>
      <c r="C49">
        <f>'Scenario 7a'!Q60</f>
        <v>206.66368232750165</v>
      </c>
    </row>
    <row r="50" spans="1:3" x14ac:dyDescent="0.3">
      <c r="A50" s="17">
        <v>0.47000000000000025</v>
      </c>
      <c r="B50">
        <f>'Scenario 7'!Q61</f>
        <v>214.20435290550842</v>
      </c>
      <c r="C50">
        <f>'Scenario 7a'!Q61</f>
        <v>206.72575590811414</v>
      </c>
    </row>
    <row r="51" spans="1:3" x14ac:dyDescent="0.3">
      <c r="A51" s="17">
        <v>0.48000000000000026</v>
      </c>
      <c r="B51">
        <f>'Scenario 7'!Q62</f>
        <v>214.61890662982904</v>
      </c>
      <c r="C51">
        <f>'Scenario 7a'!Q62</f>
        <v>206.79459647384829</v>
      </c>
    </row>
    <row r="52" spans="1:3" x14ac:dyDescent="0.3">
      <c r="A52" s="17">
        <v>0.49000000000000027</v>
      </c>
      <c r="B52">
        <f>'Scenario 7'!Q63</f>
        <v>214.99000296739874</v>
      </c>
      <c r="C52">
        <f>'Scenario 7a'!Q63</f>
        <v>206.8751461578816</v>
      </c>
    </row>
    <row r="53" spans="1:3" x14ac:dyDescent="0.3">
      <c r="A53" s="17">
        <v>0.50000000000000022</v>
      </c>
      <c r="B53">
        <f>'Scenario 7'!Q64</f>
        <v>215.31040088275918</v>
      </c>
      <c r="C53">
        <f>'Scenario 7a'!Q64</f>
        <v>206.97279868391183</v>
      </c>
    </row>
    <row r="54" spans="1:3" x14ac:dyDescent="0.3">
      <c r="A54" s="17">
        <v>0.51000000000000023</v>
      </c>
      <c r="B54">
        <f>'Scenario 7'!Q65</f>
        <v>215.57291051846326</v>
      </c>
      <c r="C54">
        <f>'Scenario 7a'!Q65</f>
        <v>207.09311374270669</v>
      </c>
    </row>
    <row r="55" spans="1:3" x14ac:dyDescent="0.3">
      <c r="A55" s="17">
        <v>0.52000000000000024</v>
      </c>
      <c r="B55">
        <f>'Scenario 7'!Q66</f>
        <v>215.77083827150318</v>
      </c>
      <c r="C55">
        <f>'Scenario 7a'!Q66</f>
        <v>207.24140582952776</v>
      </c>
    </row>
    <row r="56" spans="1:3" ht="15" thickBot="1" x14ac:dyDescent="0.35">
      <c r="A56" s="17">
        <v>0.53000000000000025</v>
      </c>
      <c r="B56">
        <f>'Scenario 7'!Q67</f>
        <v>215.89852349235051</v>
      </c>
      <c r="C56">
        <f>'Scenario 7a'!Q67</f>
        <v>207.42221927908051</v>
      </c>
    </row>
    <row r="57" spans="1:3" ht="15" thickBot="1" x14ac:dyDescent="0.35">
      <c r="A57" s="17">
        <v>0.54000000000000026</v>
      </c>
      <c r="B57" s="16">
        <f>'Scenario 7'!Q68</f>
        <v>215.95191465492042</v>
      </c>
      <c r="C57">
        <f>'Scenario 7a'!Q68</f>
        <v>207.63873126407438</v>
      </c>
    </row>
    <row r="58" spans="1:3" x14ac:dyDescent="0.3">
      <c r="A58" s="17">
        <v>0.55000000000000027</v>
      </c>
      <c r="B58">
        <f>'Scenario 7'!Q69</f>
        <v>215.9291026713517</v>
      </c>
      <c r="C58">
        <f>'Scenario 7a'!Q69</f>
        <v>207.89215763133296</v>
      </c>
    </row>
    <row r="59" spans="1:3" x14ac:dyDescent="0.3">
      <c r="A59" s="17">
        <v>0.56000000000000028</v>
      </c>
      <c r="B59">
        <f>'Scenario 7'!Q70</f>
        <v>215.83070956135725</v>
      </c>
      <c r="C59">
        <f>'Scenario 7a'!Q70</f>
        <v>208.18126227658655</v>
      </c>
    </row>
    <row r="60" spans="1:3" x14ac:dyDescent="0.3">
      <c r="A60" s="17">
        <v>0.57000000000000028</v>
      </c>
      <c r="B60">
        <f>'Scenario 7'!Q71</f>
        <v>215.66003379452258</v>
      </c>
      <c r="C60">
        <f>'Scenario 7a'!Q71</f>
        <v>208.5020766523503</v>
      </c>
    </row>
    <row r="61" spans="1:3" x14ac:dyDescent="0.3">
      <c r="A61" s="17">
        <v>0.58000000000000029</v>
      </c>
      <c r="B61">
        <f>'Scenario 7'!Q72</f>
        <v>215.42288639818975</v>
      </c>
      <c r="C61">
        <f>'Scenario 7a'!Q72</f>
        <v>208.84791255141036</v>
      </c>
    </row>
    <row r="62" spans="1:3" x14ac:dyDescent="0.3">
      <c r="A62" s="17">
        <v>0.5900000000000003</v>
      </c>
      <c r="B62">
        <f>'Scenario 7'!Q73</f>
        <v>215.12711085767427</v>
      </c>
      <c r="C62">
        <f>'Scenario 7a'!Q73</f>
        <v>209.20969873771583</v>
      </c>
    </row>
    <row r="63" spans="1:3" x14ac:dyDescent="0.3">
      <c r="A63" s="17">
        <v>0.60000000000000031</v>
      </c>
      <c r="B63">
        <f>'Scenario 7'!Q74</f>
        <v>214.78184913518342</v>
      </c>
      <c r="C63">
        <f>'Scenario 7a'!Q74</f>
        <v>209.57660325264362</v>
      </c>
    </row>
    <row r="64" spans="1:3" x14ac:dyDescent="0.3">
      <c r="A64" s="17">
        <v>0.61000000000000032</v>
      </c>
      <c r="B64">
        <f>'Scenario 7'!Q75</f>
        <v>214.39667291901881</v>
      </c>
      <c r="C64">
        <f>'Scenario 7a'!Q75</f>
        <v>209.93684032149244</v>
      </c>
    </row>
    <row r="65" spans="1:3" x14ac:dyDescent="0.3">
      <c r="A65" s="17">
        <v>0.62000000000000033</v>
      </c>
      <c r="B65">
        <f>'Scenario 7'!Q76</f>
        <v>213.98072387635986</v>
      </c>
      <c r="C65">
        <f>'Scenario 7a'!Q76</f>
        <v>210.27852514374408</v>
      </c>
    </row>
    <row r="66" spans="1:3" x14ac:dyDescent="0.3">
      <c r="A66" s="17">
        <v>0.63000000000000034</v>
      </c>
      <c r="B66">
        <f>'Scenario 7'!Q77</f>
        <v>213.54199236921534</v>
      </c>
      <c r="C66">
        <f>'Scenario 7a'!Q77</f>
        <v>210.59044206560344</v>
      </c>
    </row>
    <row r="67" spans="1:3" x14ac:dyDescent="0.3">
      <c r="A67" s="17">
        <v>0.64000000000000035</v>
      </c>
      <c r="B67">
        <f>'Scenario 7'!Q78</f>
        <v>213.08681930915202</v>
      </c>
      <c r="C67">
        <f>'Scenario 7a'!Q78</f>
        <v>210.8626270830012</v>
      </c>
    </row>
    <row r="68" spans="1:3" x14ac:dyDescent="0.3">
      <c r="A68" s="17">
        <v>0.65000000000000036</v>
      </c>
      <c r="B68">
        <f>'Scenario 7'!Q79</f>
        <v>212.61964890430335</v>
      </c>
      <c r="C68">
        <f>'Scenario 7a'!Q79</f>
        <v>211.08671829139917</v>
      </c>
    </row>
    <row r="69" spans="1:3" x14ac:dyDescent="0.3">
      <c r="A69" s="17">
        <v>0.66000000000000036</v>
      </c>
      <c r="B69">
        <f>'Scenario 7'!Q80</f>
        <v>212.1430097166683</v>
      </c>
      <c r="C69">
        <f>'Scenario 7a'!Q80</f>
        <v>211.256079145489</v>
      </c>
    </row>
    <row r="70" spans="1:3" ht="15" thickBot="1" x14ac:dyDescent="0.35">
      <c r="A70" s="17">
        <v>0.67000000000000037</v>
      </c>
      <c r="B70">
        <f>'Scenario 7'!Q81</f>
        <v>211.65766938369308</v>
      </c>
      <c r="C70">
        <f>'Scenario 7a'!Q81</f>
        <v>211.36573590903095</v>
      </c>
    </row>
    <row r="71" spans="1:3" ht="15" thickBot="1" x14ac:dyDescent="0.35">
      <c r="A71" s="17">
        <v>0.68000000000000038</v>
      </c>
      <c r="B71">
        <f>'Scenario 7'!Q82</f>
        <v>211.16289701975842</v>
      </c>
      <c r="C71" s="16">
        <f>'Scenario 7a'!Q82</f>
        <v>211.41218779403121</v>
      </c>
    </row>
    <row r="72" spans="1:3" x14ac:dyDescent="0.3">
      <c r="A72" s="17">
        <v>0.69000000000000039</v>
      </c>
      <c r="B72">
        <f>'Scenario 7'!Q83</f>
        <v>210.65677228413125</v>
      </c>
      <c r="C72">
        <f>'Scenario 7a'!Q83</f>
        <v>211.39314859714585</v>
      </c>
    </row>
    <row r="73" spans="1:3" x14ac:dyDescent="0.3">
      <c r="A73" s="17">
        <v>0.7000000000000004</v>
      </c>
      <c r="B73">
        <f>'Scenario 7'!Q84</f>
        <v>210.1364942015407</v>
      </c>
      <c r="C73">
        <f>'Scenario 7a'!Q84</f>
        <v>211.30726832739924</v>
      </c>
    </row>
    <row r="74" spans="1:3" x14ac:dyDescent="0.3">
      <c r="A74" s="17">
        <v>0.71000000000000041</v>
      </c>
      <c r="B74">
        <f>'Scenario 7'!Q85</f>
        <v>209.59865947420684</v>
      </c>
      <c r="C74">
        <f>'Scenario 7a'!Q85</f>
        <v>211.15386875618648</v>
      </c>
    </row>
    <row r="75" spans="1:3" x14ac:dyDescent="0.3">
      <c r="A75" s="17">
        <v>0.72000000000000042</v>
      </c>
      <c r="B75">
        <f>'Scenario 7'!Q86</f>
        <v>209.03949488861377</v>
      </c>
      <c r="C75">
        <f>'Scenario 7a'!Q86</f>
        <v>210.9327126430222</v>
      </c>
    </row>
    <row r="76" spans="1:3" x14ac:dyDescent="0.3">
      <c r="A76" s="17">
        <v>0.73000000000000043</v>
      </c>
      <c r="B76">
        <f>'Scenario 7'!Q87</f>
        <v>208.45503952027843</v>
      </c>
      <c r="C76">
        <f>'Scenario 7a'!Q87</f>
        <v>210.64381505275728</v>
      </c>
    </row>
    <row r="77" spans="1:3" x14ac:dyDescent="0.3">
      <c r="A77" s="17">
        <v>0.74000000000000044</v>
      </c>
      <c r="B77">
        <f>'Scenario 7'!Q88</f>
        <v>207.84127951827099</v>
      </c>
      <c r="C77">
        <f>'Scenario 7a'!Q88</f>
        <v>210.28729739007221</v>
      </c>
    </row>
    <row r="78" spans="1:3" x14ac:dyDescent="0.3">
      <c r="A78" s="17">
        <v>0.75000000000000044</v>
      </c>
      <c r="B78">
        <f>'Scenario 7'!Q89</f>
        <v>207.19424197388363</v>
      </c>
      <c r="C78">
        <f>'Scenario 7a'!Q89</f>
        <v>209.86328019935951</v>
      </c>
    </row>
    <row r="79" spans="1:3" x14ac:dyDescent="0.3">
      <c r="A79" s="17">
        <v>0.76000000000000045</v>
      </c>
      <c r="B79">
        <f>'Scenario 7'!Q90</f>
        <v>206.51005571375339</v>
      </c>
      <c r="C79">
        <f>'Scenario 7a'!Q90</f>
        <v>209.37180864012217</v>
      </c>
    </row>
    <row r="80" spans="1:3" x14ac:dyDescent="0.3">
      <c r="A80" s="17">
        <v>0.77000000000000046</v>
      </c>
      <c r="B80">
        <f>'Scenario 7'!Q91</f>
        <v>205.7849867187015</v>
      </c>
      <c r="C80">
        <f>'Scenario 7a'!Q91</f>
        <v>208.81280402870783</v>
      </c>
    </row>
    <row r="81" spans="1:3" x14ac:dyDescent="0.3">
      <c r="A81" s="17">
        <v>0.78000000000000047</v>
      </c>
      <c r="B81">
        <f>'Scenario 7'!Q92</f>
        <v>205.01545495950384</v>
      </c>
      <c r="C81">
        <f>'Scenario 7a'!Q92</f>
        <v>208.1860352547929</v>
      </c>
    </row>
    <row r="82" spans="1:3" x14ac:dyDescent="0.3">
      <c r="A82" s="17">
        <v>0.79000000000000048</v>
      </c>
      <c r="B82">
        <f>'Scenario 7'!Q93</f>
        <v>204.19803823384913</v>
      </c>
      <c r="C82">
        <f>'Scenario 7a'!Q93</f>
        <v>207.4911047468411</v>
      </c>
    </row>
    <row r="83" spans="1:3" x14ac:dyDescent="0.3">
      <c r="A83" s="17">
        <v>0.80000000000000049</v>
      </c>
      <c r="B83">
        <f>'Scenario 7'!Q94</f>
        <v>203.32946736691079</v>
      </c>
      <c r="C83">
        <f>'Scenario 7a'!Q94</f>
        <v>206.72744466331633</v>
      </c>
    </row>
    <row r="84" spans="1:3" x14ac:dyDescent="0.3">
      <c r="A84" s="17">
        <v>0.8100000000000005</v>
      </c>
      <c r="B84">
        <f>'Scenario 7'!Q95</f>
        <v>202.40661604559506</v>
      </c>
      <c r="C84">
        <f>'Scenario 7a'!Q95</f>
        <v>205.89431994974521</v>
      </c>
    </row>
    <row r="85" spans="1:3" x14ac:dyDescent="0.3">
      <c r="A85" s="17">
        <v>0.82000000000000051</v>
      </c>
      <c r="B85">
        <f>'Scenario 7'!Q96</f>
        <v>201.42648764996324</v>
      </c>
      <c r="C85">
        <f>'Scenario 7a'!Q96</f>
        <v>204.99083574172042</v>
      </c>
    </row>
    <row r="86" spans="1:3" x14ac:dyDescent="0.3">
      <c r="A86" s="17">
        <v>0.83000000000000052</v>
      </c>
      <c r="B86">
        <f>'Scenario 7'!Q97</f>
        <v>200.38620073051374</v>
      </c>
      <c r="C86">
        <f>'Scenario 7a'!Q97</f>
        <v>204.01594728284167</v>
      </c>
    </row>
    <row r="87" spans="1:3" x14ac:dyDescent="0.3">
      <c r="A87" s="17">
        <v>0.84000000000000052</v>
      </c>
      <c r="B87">
        <f>'Scenario 7'!Q98</f>
        <v>199.28297423781265</v>
      </c>
      <c r="C87">
        <f>'Scenario 7a'!Q98</f>
        <v>202.96847106762812</v>
      </c>
    </row>
    <row r="88" spans="1:3" x14ac:dyDescent="0.3">
      <c r="A88" s="17">
        <v>0.85000000000000053</v>
      </c>
      <c r="B88">
        <f>'Scenario 7'!Q99</f>
        <v>198.11411321257168</v>
      </c>
      <c r="C88">
        <f>'Scenario 7a'!Q99</f>
        <v>201.84709633044781</v>
      </c>
    </row>
    <row r="89" spans="1:3" x14ac:dyDescent="0.3">
      <c r="A89" s="17">
        <v>0.86000000000000054</v>
      </c>
      <c r="B89">
        <f>'Scenario 7'!Q100</f>
        <v>196.87699535973235</v>
      </c>
      <c r="C89">
        <f>'Scenario 7a'!Q100</f>
        <v>200.65039630528707</v>
      </c>
    </row>
    <row r="90" spans="1:3" x14ac:dyDescent="0.3">
      <c r="A90" s="17">
        <v>0.87000000000000055</v>
      </c>
      <c r="B90">
        <f>'Scenario 7'!Q101</f>
        <v>195.569058732435</v>
      </c>
      <c r="C90">
        <f>'Scenario 7a'!Q101</f>
        <v>199.37683890027816</v>
      </c>
    </row>
    <row r="91" spans="1:3" x14ac:dyDescent="0.3">
      <c r="A91" s="17">
        <v>0.88000000000000056</v>
      </c>
      <c r="B91">
        <f>'Scenario 7'!Q102</f>
        <v>194.18779061844415</v>
      </c>
      <c r="C91">
        <f>'Scenario 7a'!Q102</f>
        <v>198.02479658522594</v>
      </c>
    </row>
    <row r="92" spans="1:3" x14ac:dyDescent="0.3">
      <c r="A92" s="17">
        <v>0.89000000000000057</v>
      </c>
      <c r="B92">
        <f>'Scenario 7'!Q103</f>
        <v>192.73071763485507</v>
      </c>
      <c r="C92">
        <f>'Scenario 7a'!Q103</f>
        <v>196.59255539637977</v>
      </c>
    </row>
    <row r="93" spans="1:3" x14ac:dyDescent="0.3">
      <c r="A93" s="17">
        <v>0.90000000000000058</v>
      </c>
      <c r="B93">
        <f>'Scenario 7'!Q104</f>
        <v>191.19539698310712</v>
      </c>
      <c r="C93">
        <f>'Scenario 7a'!Q104</f>
        <v>195.07832303340498</v>
      </c>
    </row>
    <row r="94" spans="1:3" x14ac:dyDescent="0.3">
      <c r="A94" s="17">
        <v>0.91000000000000059</v>
      </c>
      <c r="B94">
        <f>'Scenario 7'!Q105</f>
        <v>189.57940878533515</v>
      </c>
      <c r="C94">
        <f>'Scenario 7a'!Q105</f>
        <v>193.48023606892224</v>
      </c>
    </row>
    <row r="95" spans="1:3" x14ac:dyDescent="0.3">
      <c r="A95" s="17">
        <v>0.9200000000000006</v>
      </c>
      <c r="B95">
        <f>'Scenario 7'!Q106</f>
        <v>187.88034940752027</v>
      </c>
      <c r="C95">
        <f>'Scenario 7a'!Q106</f>
        <v>191.79636631858355</v>
      </c>
    </row>
    <row r="96" spans="1:3" x14ac:dyDescent="0.3">
      <c r="A96" s="17">
        <v>0.9300000000000006</v>
      </c>
      <c r="B96">
        <f>'Scenario 7'!Q107</f>
        <v>186.09582566948316</v>
      </c>
      <c r="C96">
        <f>'Scenario 7a'!Q107</f>
        <v>190.02472643496662</v>
      </c>
    </row>
    <row r="97" spans="1:3" x14ac:dyDescent="0.3">
      <c r="A97" s="17">
        <v>0.94000000000000061</v>
      </c>
      <c r="B97">
        <f>'Scenario 7'!Q108</f>
        <v>184.22344984278351</v>
      </c>
      <c r="C97">
        <f>'Scenario 7a'!Q108</f>
        <v>188.16327479556847</v>
      </c>
    </row>
    <row r="98" spans="1:3" x14ac:dyDescent="0.3">
      <c r="A98" s="17">
        <v>0.95000000000000062</v>
      </c>
      <c r="B98">
        <f>'Scenario 7'!Q109</f>
        <v>182.26083534248872</v>
      </c>
      <c r="C98">
        <f>'Scenario 7a'!Q109</f>
        <v>186.20991975672598</v>
      </c>
    </row>
    <row r="99" spans="1:3" x14ac:dyDescent="0.3">
      <c r="A99" s="17">
        <v>0.96000000000000063</v>
      </c>
      <c r="B99">
        <f>'Scenario 7'!Q110</f>
        <v>180.20559302582356</v>
      </c>
      <c r="C99">
        <f>'Scenario 7a'!Q110</f>
        <v>184.16252334337872</v>
      </c>
    </row>
    <row r="100" spans="1:3" x14ac:dyDescent="0.3">
      <c r="A100" s="17">
        <v>0.97000000000000064</v>
      </c>
      <c r="B100">
        <f>'Scenario 7'!Q111</f>
        <v>178.05532801874949</v>
      </c>
      <c r="C100">
        <f>'Scenario 7a'!Q111</f>
        <v>182.01890444060686</v>
      </c>
    </row>
    <row r="101" spans="1:3" x14ac:dyDescent="0.3">
      <c r="A101" s="17">
        <v>0.98000000000000065</v>
      </c>
      <c r="B101">
        <f>'Scenario 7'!Q112</f>
        <v>175.80763699981634</v>
      </c>
      <c r="C101">
        <f>'Scenario 7a'!Q112</f>
        <v>179.77684154777643</v>
      </c>
    </row>
    <row r="102" spans="1:3" x14ac:dyDescent="0.3">
      <c r="A102" s="17">
        <v>0.99000000000000066</v>
      </c>
      <c r="B102">
        <f>'Scenario 7'!Q113</f>
        <v>173.46010587870686</v>
      </c>
      <c r="C102">
        <f>'Scenario 7a'!Q113</f>
        <v>177.43407515052709</v>
      </c>
    </row>
    <row r="103" spans="1:3" x14ac:dyDescent="0.3">
      <c r="A103" s="17">
        <v>1.0000000000000007</v>
      </c>
      <c r="B103">
        <f>'Scenario 7'!Q114</f>
        <v>171.01030781449981</v>
      </c>
      <c r="C103">
        <f>'Scenario 7a'!Q114</f>
        <v>174.98830976016683</v>
      </c>
    </row>
  </sheetData>
  <conditionalFormatting sqref="B3:B10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10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92085-227D-45CA-89E6-B8CC1A0DE951}">
  <dimension ref="B1:R117"/>
  <sheetViews>
    <sheetView zoomScaleNormal="100" workbookViewId="0">
      <pane ySplit="1" topLeftCell="A2" activePane="bottomLeft" state="frozen"/>
      <selection pane="bottomLeft" activeCell="U15" sqref="U15"/>
    </sheetView>
  </sheetViews>
  <sheetFormatPr baseColWidth="10" defaultColWidth="11.44140625" defaultRowHeight="14.4" x14ac:dyDescent="0.3"/>
  <cols>
    <col min="4" max="4" width="13.88671875" style="1" bestFit="1" customWidth="1"/>
    <col min="5" max="5" width="20.109375" style="1" bestFit="1" customWidth="1"/>
    <col min="7" max="7" width="14.109375" customWidth="1"/>
    <col min="10" max="10" width="18.88671875" customWidth="1"/>
    <col min="13" max="13" width="14.109375" bestFit="1" customWidth="1"/>
    <col min="14" max="14" width="13.44140625" bestFit="1" customWidth="1"/>
    <col min="18" max="18" width="15.44140625" bestFit="1" customWidth="1"/>
  </cols>
  <sheetData>
    <row r="1" spans="2:18" x14ac:dyDescent="0.3">
      <c r="C1" s="2" t="s">
        <v>7</v>
      </c>
      <c r="D1" s="5" t="s">
        <v>8</v>
      </c>
      <c r="E1" s="5" t="s">
        <v>9</v>
      </c>
      <c r="F1" s="2" t="s">
        <v>10</v>
      </c>
      <c r="G1" s="2" t="s">
        <v>11</v>
      </c>
      <c r="H1" s="2" t="s">
        <v>20</v>
      </c>
      <c r="I1" s="2" t="s">
        <v>21</v>
      </c>
      <c r="J1" s="2" t="s">
        <v>23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15</v>
      </c>
    </row>
    <row r="2" spans="2:18" x14ac:dyDescent="0.3">
      <c r="C2" s="2"/>
      <c r="D2" s="5"/>
      <c r="E2" s="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2:18" x14ac:dyDescent="0.3">
      <c r="B3" s="11" t="s">
        <v>24</v>
      </c>
      <c r="C3" s="11" t="s">
        <v>25</v>
      </c>
      <c r="D3" s="11" t="s">
        <v>26</v>
      </c>
      <c r="E3" s="11" t="s">
        <v>27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8" x14ac:dyDescent="0.3">
      <c r="B4" s="12">
        <v>10</v>
      </c>
      <c r="C4" s="12">
        <v>50</v>
      </c>
      <c r="D4" s="12">
        <v>10</v>
      </c>
      <c r="E4" s="12">
        <v>50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2:18" x14ac:dyDescent="0.3">
      <c r="B5" s="12"/>
      <c r="C5" s="12"/>
      <c r="D5" s="12"/>
      <c r="E5" s="1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8" x14ac:dyDescent="0.3">
      <c r="B6" s="10" t="s">
        <v>0</v>
      </c>
      <c r="C6" s="10" t="s">
        <v>1</v>
      </c>
      <c r="D6" s="10" t="s">
        <v>2</v>
      </c>
      <c r="E6" s="10" t="s">
        <v>3</v>
      </c>
      <c r="F6" s="1" t="s">
        <v>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8" x14ac:dyDescent="0.3">
      <c r="B7" s="10">
        <v>0</v>
      </c>
      <c r="C7" s="10">
        <v>0</v>
      </c>
      <c r="D7" s="10">
        <v>8</v>
      </c>
      <c r="E7" s="10">
        <v>0</v>
      </c>
      <c r="F7" s="1">
        <v>200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8" x14ac:dyDescent="0.3">
      <c r="C8" s="2"/>
      <c r="D8" s="5"/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8" x14ac:dyDescent="0.3">
      <c r="B9" s="5" t="s">
        <v>28</v>
      </c>
      <c r="C9" s="5" t="s">
        <v>29</v>
      </c>
      <c r="D9" s="5" t="s">
        <v>30</v>
      </c>
      <c r="E9" s="5" t="s">
        <v>31</v>
      </c>
      <c r="G9" s="5" t="s">
        <v>5</v>
      </c>
      <c r="H9" s="1"/>
      <c r="I9" s="1"/>
      <c r="J9" s="1"/>
      <c r="K9" s="1" t="s">
        <v>6</v>
      </c>
      <c r="M9" s="1" t="s">
        <v>19</v>
      </c>
      <c r="N9" s="1" t="s">
        <v>18</v>
      </c>
    </row>
    <row r="10" spans="2:18" x14ac:dyDescent="0.3">
      <c r="B10" s="5">
        <f>B4+B7</f>
        <v>10</v>
      </c>
      <c r="C10" s="5">
        <f t="shared" ref="C10:E10" si="0">C4+C7</f>
        <v>50</v>
      </c>
      <c r="D10" s="5">
        <f t="shared" si="0"/>
        <v>18</v>
      </c>
      <c r="E10" s="5">
        <f t="shared" si="0"/>
        <v>50</v>
      </c>
      <c r="G10" s="10">
        <f>F7-0.5*D7-E7</f>
        <v>196</v>
      </c>
      <c r="K10" s="1">
        <v>1.5</v>
      </c>
      <c r="M10" s="1">
        <v>0.5</v>
      </c>
      <c r="N10" s="1">
        <v>0.65</v>
      </c>
      <c r="Q10" s="2" t="s">
        <v>22</v>
      </c>
      <c r="R10" s="9">
        <f>MAX(Q14:Q114)</f>
        <v>215.95191465492042</v>
      </c>
    </row>
    <row r="11" spans="2:18" x14ac:dyDescent="0.3">
      <c r="B11" s="1"/>
      <c r="C11" s="1"/>
      <c r="F11" s="1"/>
      <c r="K11" s="1"/>
      <c r="M11" s="1"/>
      <c r="N11" s="1"/>
      <c r="Q11" s="2"/>
      <c r="R11" s="9"/>
    </row>
    <row r="13" spans="2:18" x14ac:dyDescent="0.3">
      <c r="B13" s="2"/>
      <c r="C13" s="2" t="s">
        <v>7</v>
      </c>
      <c r="D13" s="5" t="s">
        <v>8</v>
      </c>
      <c r="E13" s="5" t="s">
        <v>9</v>
      </c>
      <c r="F13" s="2" t="s">
        <v>10</v>
      </c>
      <c r="G13" s="2" t="s">
        <v>11</v>
      </c>
      <c r="H13" s="2" t="s">
        <v>20</v>
      </c>
      <c r="I13" s="2" t="s">
        <v>21</v>
      </c>
      <c r="J13" s="2" t="s">
        <v>23</v>
      </c>
      <c r="K13" s="2" t="s">
        <v>12</v>
      </c>
      <c r="L13" s="2" t="s">
        <v>13</v>
      </c>
      <c r="M13" s="2" t="s">
        <v>14</v>
      </c>
      <c r="N13" s="2" t="s">
        <v>15</v>
      </c>
      <c r="O13" s="2" t="s">
        <v>16</v>
      </c>
      <c r="P13" s="2" t="s">
        <v>17</v>
      </c>
      <c r="Q13" s="2" t="s">
        <v>15</v>
      </c>
    </row>
    <row r="14" spans="2:18" x14ac:dyDescent="0.3">
      <c r="B14">
        <v>0</v>
      </c>
      <c r="C14">
        <f>1-1/(1+EXP(-20*(B14-(($N$10+$M$10)/2))))</f>
        <v>0.99998987000901918</v>
      </c>
      <c r="D14" s="6">
        <f t="shared" ref="D14:D77" si="1">$D$10/($D$10+$B$10)</f>
        <v>0.6428571428571429</v>
      </c>
      <c r="E14" s="6">
        <f>$E$10/($E$10+$C$10)</f>
        <v>0.5</v>
      </c>
      <c r="F14" s="8">
        <f>B14^2*0.5</f>
        <v>0</v>
      </c>
      <c r="G14" s="8">
        <f>-(B14^4)</f>
        <v>0</v>
      </c>
      <c r="H14">
        <f t="shared" ref="H14:I45" si="2">F14*$F$7</f>
        <v>0</v>
      </c>
      <c r="I14">
        <f t="shared" si="2"/>
        <v>0</v>
      </c>
      <c r="J14">
        <f>H14+I14</f>
        <v>0</v>
      </c>
      <c r="K14">
        <f>$G$10+H14*$K$10</f>
        <v>196</v>
      </c>
      <c r="L14">
        <f>$G$10+I14</f>
        <v>196</v>
      </c>
      <c r="M14">
        <f>C14*D14^(1-EXP(-5*B14))+(1-C14)*E14</f>
        <v>0.99999493500450964</v>
      </c>
      <c r="N14" s="3">
        <f>M14*K14+(1-M14)*L14</f>
        <v>196</v>
      </c>
      <c r="O14">
        <f>K14*M14</f>
        <v>195.9990072608839</v>
      </c>
      <c r="P14">
        <f>(1-M14)*L14</f>
        <v>9.9273911610975318E-4</v>
      </c>
      <c r="Q14">
        <f>P14+O14</f>
        <v>196</v>
      </c>
    </row>
    <row r="15" spans="2:18" x14ac:dyDescent="0.3">
      <c r="B15">
        <v>0.01</v>
      </c>
      <c r="C15">
        <f t="shared" ref="C15:C78" si="3">1-1/(1+EXP(-20*(B15-(($N$10+$M$10)/2))))</f>
        <v>0.99998762722882562</v>
      </c>
      <c r="D15" s="6">
        <f>$D$10/($D$10+$B$10)</f>
        <v>0.6428571428571429</v>
      </c>
      <c r="E15" s="6">
        <f>$E$10/($E$10+$C$10)</f>
        <v>0.5</v>
      </c>
      <c r="F15" s="8">
        <f t="shared" ref="F15:F78" si="4">B15^2*0.5</f>
        <v>5.0000000000000002E-5</v>
      </c>
      <c r="G15" s="8">
        <f t="shared" ref="G15:G78" si="5">-(B15^4)</f>
        <v>-1E-8</v>
      </c>
      <c r="H15">
        <f t="shared" si="2"/>
        <v>0.01</v>
      </c>
      <c r="I15">
        <f t="shared" si="2"/>
        <v>-1.9999999999999999E-6</v>
      </c>
      <c r="J15">
        <f t="shared" ref="J15:J78" si="6">H15+I15</f>
        <v>9.9979999999999999E-3</v>
      </c>
      <c r="K15">
        <f t="shared" ref="K15:K78" si="7">$G$10+H15*$K$10</f>
        <v>196.01499999999999</v>
      </c>
      <c r="L15">
        <f>$G$10+I15</f>
        <v>195.99999800000001</v>
      </c>
      <c r="M15">
        <f t="shared" ref="M15:M78" si="8">C15*D15^(1-EXP(-5*B15))+(1-C15)*E15</f>
        <v>0.9786761486835891</v>
      </c>
      <c r="N15">
        <f>M15*K15+(1-M15)*L15</f>
        <v>196.01468009958256</v>
      </c>
      <c r="O15">
        <f>K15*M15</f>
        <v>191.83520528421371</v>
      </c>
      <c r="P15">
        <f>(1-M15)*L15</f>
        <v>4.1794748153688346</v>
      </c>
      <c r="Q15">
        <f>P15+O15</f>
        <v>196.01468009958256</v>
      </c>
      <c r="R15" s="4"/>
    </row>
    <row r="16" spans="2:18" x14ac:dyDescent="0.3">
      <c r="B16">
        <f>B15+0.01</f>
        <v>0.02</v>
      </c>
      <c r="C16">
        <f t="shared" si="3"/>
        <v>0.99998488790455897</v>
      </c>
      <c r="D16" s="6">
        <f t="shared" si="1"/>
        <v>0.6428571428571429</v>
      </c>
      <c r="E16" s="6">
        <f t="shared" ref="E16:E79" si="9">$E$10/($E$10+$C$10)</f>
        <v>0.5</v>
      </c>
      <c r="F16" s="8">
        <f t="shared" si="4"/>
        <v>2.0000000000000001E-4</v>
      </c>
      <c r="G16" s="8">
        <f t="shared" si="5"/>
        <v>-1.6E-7</v>
      </c>
      <c r="H16">
        <f t="shared" si="2"/>
        <v>0.04</v>
      </c>
      <c r="I16">
        <f t="shared" si="2"/>
        <v>-3.1999999999999999E-5</v>
      </c>
      <c r="J16">
        <f t="shared" si="6"/>
        <v>3.9968000000000004E-2</v>
      </c>
      <c r="K16">
        <f t="shared" si="7"/>
        <v>196.06</v>
      </c>
      <c r="L16">
        <f t="shared" ref="L16:L78" si="10">$G$10+I16</f>
        <v>195.999968</v>
      </c>
      <c r="M16">
        <f t="shared" si="8"/>
        <v>0.95881879201186615</v>
      </c>
      <c r="N16">
        <f t="shared" ref="N16:N79" si="11">M16*K16+(1-M16)*L16</f>
        <v>196.05752780972207</v>
      </c>
      <c r="O16">
        <f t="shared" ref="O16:O79" si="12">K16*M16</f>
        <v>187.98601236184649</v>
      </c>
      <c r="P16">
        <f t="shared" ref="P16:P79" si="13">(1-M16)*L16</f>
        <v>8.0715154478755782</v>
      </c>
      <c r="Q16">
        <f t="shared" ref="Q16:Q79" si="14">P16+O16</f>
        <v>196.05752780972207</v>
      </c>
      <c r="R16" s="4"/>
    </row>
    <row r="17" spans="2:18" x14ac:dyDescent="0.3">
      <c r="B17">
        <f t="shared" ref="B17:B80" si="15">B16+0.01</f>
        <v>0.03</v>
      </c>
      <c r="C17">
        <f t="shared" si="3"/>
        <v>0.99998154210670431</v>
      </c>
      <c r="D17" s="6">
        <f t="shared" si="1"/>
        <v>0.6428571428571429</v>
      </c>
      <c r="E17" s="6">
        <f t="shared" si="9"/>
        <v>0.5</v>
      </c>
      <c r="F17" s="8">
        <f t="shared" si="4"/>
        <v>4.4999999999999999E-4</v>
      </c>
      <c r="G17" s="8">
        <f t="shared" si="5"/>
        <v>-8.0999999999999997E-7</v>
      </c>
      <c r="H17">
        <f t="shared" si="2"/>
        <v>0.09</v>
      </c>
      <c r="I17">
        <f t="shared" si="2"/>
        <v>-1.6200000000000001E-4</v>
      </c>
      <c r="J17">
        <f t="shared" si="6"/>
        <v>8.9838000000000001E-2</v>
      </c>
      <c r="K17">
        <f t="shared" si="7"/>
        <v>196.13499999999999</v>
      </c>
      <c r="L17">
        <f t="shared" si="10"/>
        <v>195.99983800000001</v>
      </c>
      <c r="M17">
        <f t="shared" si="8"/>
        <v>0.94030365250352799</v>
      </c>
      <c r="N17">
        <f t="shared" si="11"/>
        <v>196.12693132227966</v>
      </c>
      <c r="O17">
        <f t="shared" si="12"/>
        <v>184.42645688377945</v>
      </c>
      <c r="P17">
        <f t="shared" si="13"/>
        <v>11.700474438500221</v>
      </c>
      <c r="Q17">
        <f t="shared" si="14"/>
        <v>196.12693132227966</v>
      </c>
      <c r="R17" s="4"/>
    </row>
    <row r="18" spans="2:18" x14ac:dyDescent="0.3">
      <c r="B18">
        <f t="shared" si="15"/>
        <v>0.04</v>
      </c>
      <c r="C18">
        <f t="shared" si="3"/>
        <v>0.99997745557034956</v>
      </c>
      <c r="D18" s="6">
        <f t="shared" si="1"/>
        <v>0.6428571428571429</v>
      </c>
      <c r="E18" s="6">
        <f t="shared" si="9"/>
        <v>0.5</v>
      </c>
      <c r="F18" s="8">
        <f t="shared" si="4"/>
        <v>8.0000000000000004E-4</v>
      </c>
      <c r="G18" s="8">
        <f t="shared" si="5"/>
        <v>-2.5600000000000001E-6</v>
      </c>
      <c r="H18">
        <f t="shared" si="2"/>
        <v>0.16</v>
      </c>
      <c r="I18">
        <f t="shared" si="2"/>
        <v>-5.1199999999999998E-4</v>
      </c>
      <c r="J18">
        <f>H18+I18</f>
        <v>0.15948799999999999</v>
      </c>
      <c r="K18">
        <f t="shared" si="7"/>
        <v>196.24</v>
      </c>
      <c r="L18">
        <f t="shared" si="10"/>
        <v>195.99948800000001</v>
      </c>
      <c r="M18">
        <f t="shared" si="8"/>
        <v>0.92302309548157224</v>
      </c>
      <c r="N18">
        <f t="shared" si="11"/>
        <v>196.22148613074049</v>
      </c>
      <c r="O18">
        <f t="shared" si="12"/>
        <v>181.13405225730375</v>
      </c>
      <c r="P18">
        <f t="shared" si="13"/>
        <v>15.087433873436728</v>
      </c>
      <c r="Q18">
        <f t="shared" si="14"/>
        <v>196.22148613074049</v>
      </c>
      <c r="R18" s="4"/>
    </row>
    <row r="19" spans="2:18" x14ac:dyDescent="0.3">
      <c r="B19">
        <f t="shared" si="15"/>
        <v>0.05</v>
      </c>
      <c r="C19">
        <f t="shared" si="3"/>
        <v>0.99997246430888542</v>
      </c>
      <c r="D19" s="6">
        <f t="shared" si="1"/>
        <v>0.6428571428571429</v>
      </c>
      <c r="E19" s="6">
        <f t="shared" si="9"/>
        <v>0.5</v>
      </c>
      <c r="F19" s="8">
        <f t="shared" si="4"/>
        <v>1.2500000000000002E-3</v>
      </c>
      <c r="G19" s="8">
        <f t="shared" si="5"/>
        <v>-6.2500000000000028E-6</v>
      </c>
      <c r="H19">
        <f t="shared" si="2"/>
        <v>0.25000000000000006</v>
      </c>
      <c r="I19">
        <f t="shared" si="2"/>
        <v>-1.2500000000000007E-3</v>
      </c>
      <c r="J19">
        <f t="shared" si="6"/>
        <v>0.24875000000000005</v>
      </c>
      <c r="K19">
        <f t="shared" si="7"/>
        <v>196.375</v>
      </c>
      <c r="L19">
        <f t="shared" si="10"/>
        <v>195.99875</v>
      </c>
      <c r="M19">
        <f t="shared" si="8"/>
        <v>0.9068797539663227</v>
      </c>
      <c r="N19">
        <f t="shared" si="11"/>
        <v>196.33996350742981</v>
      </c>
      <c r="O19">
        <f t="shared" si="12"/>
        <v>178.08851168513661</v>
      </c>
      <c r="P19">
        <f t="shared" si="13"/>
        <v>18.251451822293209</v>
      </c>
      <c r="Q19">
        <f t="shared" si="14"/>
        <v>196.33996350742981</v>
      </c>
      <c r="R19" s="4"/>
    </row>
    <row r="20" spans="2:18" x14ac:dyDescent="0.3">
      <c r="B20">
        <f t="shared" si="15"/>
        <v>6.0000000000000005E-2</v>
      </c>
      <c r="C20">
        <f t="shared" si="3"/>
        <v>0.99996636803596128</v>
      </c>
      <c r="D20" s="6">
        <f t="shared" si="1"/>
        <v>0.6428571428571429</v>
      </c>
      <c r="E20" s="6">
        <f t="shared" si="9"/>
        <v>0.5</v>
      </c>
      <c r="F20" s="8">
        <f t="shared" si="4"/>
        <v>1.8000000000000004E-3</v>
      </c>
      <c r="G20" s="8">
        <f t="shared" si="5"/>
        <v>-1.2960000000000006E-5</v>
      </c>
      <c r="H20">
        <f t="shared" si="2"/>
        <v>0.3600000000000001</v>
      </c>
      <c r="I20">
        <f t="shared" si="2"/>
        <v>-2.5920000000000014E-3</v>
      </c>
      <c r="J20">
        <f t="shared" si="6"/>
        <v>0.35740800000000011</v>
      </c>
      <c r="K20">
        <f t="shared" si="7"/>
        <v>196.54</v>
      </c>
      <c r="L20">
        <f t="shared" si="10"/>
        <v>195.99740800000001</v>
      </c>
      <c r="M20">
        <f t="shared" si="8"/>
        <v>0.89178538536807306</v>
      </c>
      <c r="N20">
        <f t="shared" si="11"/>
        <v>196.48128361581763</v>
      </c>
      <c r="O20">
        <f t="shared" si="12"/>
        <v>175.27149964024107</v>
      </c>
      <c r="P20">
        <f t="shared" si="13"/>
        <v>21.209783975576556</v>
      </c>
      <c r="Q20">
        <f t="shared" si="14"/>
        <v>196.48128361581763</v>
      </c>
      <c r="R20" s="4"/>
    </row>
    <row r="21" spans="2:18" x14ac:dyDescent="0.3">
      <c r="B21">
        <f t="shared" si="15"/>
        <v>7.0000000000000007E-2</v>
      </c>
      <c r="C21">
        <f t="shared" si="3"/>
        <v>0.99995892213223525</v>
      </c>
      <c r="D21" s="6">
        <f t="shared" si="1"/>
        <v>0.6428571428571429</v>
      </c>
      <c r="E21" s="6">
        <f t="shared" si="9"/>
        <v>0.5</v>
      </c>
      <c r="F21" s="8">
        <f t="shared" si="4"/>
        <v>2.4500000000000004E-3</v>
      </c>
      <c r="G21" s="8">
        <f t="shared" si="5"/>
        <v>-2.4010000000000006E-5</v>
      </c>
      <c r="H21">
        <f t="shared" si="2"/>
        <v>0.49000000000000005</v>
      </c>
      <c r="I21">
        <f t="shared" si="2"/>
        <v>-4.8020000000000007E-3</v>
      </c>
      <c r="J21">
        <f t="shared" si="6"/>
        <v>0.48519800000000002</v>
      </c>
      <c r="K21">
        <f t="shared" si="7"/>
        <v>196.73500000000001</v>
      </c>
      <c r="L21">
        <f t="shared" si="10"/>
        <v>195.99519799999999</v>
      </c>
      <c r="M21">
        <f t="shared" si="8"/>
        <v>0.8776598713981183</v>
      </c>
      <c r="N21">
        <f t="shared" si="11"/>
        <v>196.64449252818008</v>
      </c>
      <c r="O21">
        <f t="shared" si="12"/>
        <v>172.66641479950883</v>
      </c>
      <c r="P21">
        <f t="shared" si="13"/>
        <v>23.978077728671266</v>
      </c>
      <c r="Q21">
        <f t="shared" si="14"/>
        <v>196.64449252818008</v>
      </c>
      <c r="R21" s="4"/>
    </row>
    <row r="22" spans="2:18" x14ac:dyDescent="0.3">
      <c r="B22">
        <f t="shared" si="15"/>
        <v>0.08</v>
      </c>
      <c r="C22">
        <f t="shared" si="3"/>
        <v>0.99994982783531627</v>
      </c>
      <c r="D22" s="6">
        <f t="shared" si="1"/>
        <v>0.6428571428571429</v>
      </c>
      <c r="E22" s="6">
        <f t="shared" si="9"/>
        <v>0.5</v>
      </c>
      <c r="F22" s="8">
        <f t="shared" si="4"/>
        <v>3.2000000000000002E-3</v>
      </c>
      <c r="G22" s="8">
        <f t="shared" si="5"/>
        <v>-4.0960000000000001E-5</v>
      </c>
      <c r="H22">
        <f t="shared" si="2"/>
        <v>0.64</v>
      </c>
      <c r="I22">
        <f t="shared" si="2"/>
        <v>-8.1919999999999996E-3</v>
      </c>
      <c r="J22">
        <f t="shared" si="6"/>
        <v>0.63180800000000004</v>
      </c>
      <c r="K22">
        <f t="shared" si="7"/>
        <v>196.96</v>
      </c>
      <c r="L22">
        <f t="shared" si="10"/>
        <v>195.99180799999999</v>
      </c>
      <c r="M22">
        <f t="shared" si="8"/>
        <v>0.86443034121358386</v>
      </c>
      <c r="N22">
        <f t="shared" si="11"/>
        <v>196.82874254092027</v>
      </c>
      <c r="O22">
        <f t="shared" si="12"/>
        <v>170.25820000542748</v>
      </c>
      <c r="P22">
        <f t="shared" si="13"/>
        <v>26.570542535492784</v>
      </c>
      <c r="Q22">
        <f t="shared" si="14"/>
        <v>196.82874254092027</v>
      </c>
      <c r="R22" s="4"/>
    </row>
    <row r="23" spans="2:18" x14ac:dyDescent="0.3">
      <c r="B23">
        <f t="shared" si="15"/>
        <v>0.09</v>
      </c>
      <c r="C23">
        <f t="shared" si="3"/>
        <v>0.99993872026038344</v>
      </c>
      <c r="D23" s="6">
        <f t="shared" si="1"/>
        <v>0.6428571428571429</v>
      </c>
      <c r="E23" s="6">
        <f t="shared" si="9"/>
        <v>0.5</v>
      </c>
      <c r="F23" s="8">
        <f t="shared" si="4"/>
        <v>4.0499999999999998E-3</v>
      </c>
      <c r="G23" s="8">
        <f t="shared" si="5"/>
        <v>-6.560999999999999E-5</v>
      </c>
      <c r="H23">
        <f t="shared" si="2"/>
        <v>0.80999999999999994</v>
      </c>
      <c r="I23">
        <f t="shared" si="2"/>
        <v>-1.3121999999999998E-2</v>
      </c>
      <c r="J23">
        <f t="shared" si="6"/>
        <v>0.79687799999999998</v>
      </c>
      <c r="K23">
        <f t="shared" si="7"/>
        <v>197.215</v>
      </c>
      <c r="L23">
        <f t="shared" si="10"/>
        <v>195.98687799999999</v>
      </c>
      <c r="M23">
        <f t="shared" si="8"/>
        <v>0.85203040081408887</v>
      </c>
      <c r="N23">
        <f t="shared" si="11"/>
        <v>197.03327527990859</v>
      </c>
      <c r="O23">
        <f t="shared" si="12"/>
        <v>168.03317549655054</v>
      </c>
      <c r="P23">
        <f t="shared" si="13"/>
        <v>29.000099783358063</v>
      </c>
      <c r="Q23">
        <f t="shared" si="14"/>
        <v>197.03327527990859</v>
      </c>
      <c r="R23" s="4"/>
    </row>
    <row r="24" spans="2:18" x14ac:dyDescent="0.3">
      <c r="B24">
        <f t="shared" si="15"/>
        <v>9.9999999999999992E-2</v>
      </c>
      <c r="C24">
        <f t="shared" si="3"/>
        <v>0.99992515377248936</v>
      </c>
      <c r="D24" s="6">
        <f t="shared" si="1"/>
        <v>0.6428571428571429</v>
      </c>
      <c r="E24" s="6">
        <f t="shared" si="9"/>
        <v>0.5</v>
      </c>
      <c r="F24" s="8">
        <f t="shared" si="4"/>
        <v>4.9999999999999992E-3</v>
      </c>
      <c r="G24" s="8">
        <f t="shared" si="5"/>
        <v>-9.9999999999999964E-5</v>
      </c>
      <c r="H24">
        <f t="shared" si="2"/>
        <v>0.99999999999999989</v>
      </c>
      <c r="I24">
        <f t="shared" si="2"/>
        <v>-1.9999999999999993E-2</v>
      </c>
      <c r="J24">
        <f t="shared" si="6"/>
        <v>0.97999999999999987</v>
      </c>
      <c r="K24">
        <f t="shared" si="7"/>
        <v>197.5</v>
      </c>
      <c r="L24">
        <f t="shared" si="10"/>
        <v>195.98</v>
      </c>
      <c r="M24">
        <f t="shared" si="8"/>
        <v>0.84039945421716555</v>
      </c>
      <c r="N24">
        <f t="shared" si="11"/>
        <v>197.25740717041009</v>
      </c>
      <c r="O24">
        <f t="shared" si="12"/>
        <v>165.9788922078902</v>
      </c>
      <c r="P24">
        <f t="shared" si="13"/>
        <v>31.278514962519893</v>
      </c>
      <c r="Q24">
        <f t="shared" si="14"/>
        <v>197.25740717041009</v>
      </c>
      <c r="R24" s="4"/>
    </row>
    <row r="25" spans="2:18" x14ac:dyDescent="0.3">
      <c r="B25">
        <f t="shared" si="15"/>
        <v>0.10999999999999999</v>
      </c>
      <c r="C25">
        <f t="shared" si="3"/>
        <v>0.9999085841261478</v>
      </c>
      <c r="D25" s="6">
        <f t="shared" si="1"/>
        <v>0.6428571428571429</v>
      </c>
      <c r="E25" s="6">
        <f t="shared" si="9"/>
        <v>0.5</v>
      </c>
      <c r="F25" s="8">
        <f t="shared" si="4"/>
        <v>6.049999999999999E-3</v>
      </c>
      <c r="G25" s="8">
        <f t="shared" si="5"/>
        <v>-1.4640999999999995E-4</v>
      </c>
      <c r="H25">
        <f t="shared" si="2"/>
        <v>1.2099999999999997</v>
      </c>
      <c r="I25">
        <f t="shared" si="2"/>
        <v>-2.9281999999999989E-2</v>
      </c>
      <c r="J25">
        <f t="shared" si="6"/>
        <v>1.1807179999999997</v>
      </c>
      <c r="K25">
        <f t="shared" si="7"/>
        <v>197.815</v>
      </c>
      <c r="L25">
        <f t="shared" si="10"/>
        <v>195.97071800000001</v>
      </c>
      <c r="M25">
        <f t="shared" si="8"/>
        <v>0.82948210403960076</v>
      </c>
      <c r="N25">
        <f t="shared" si="11"/>
        <v>197.50051691380236</v>
      </c>
      <c r="O25">
        <f t="shared" si="12"/>
        <v>164.08400241059363</v>
      </c>
      <c r="P25">
        <f t="shared" si="13"/>
        <v>33.416514503208738</v>
      </c>
      <c r="Q25">
        <f t="shared" si="14"/>
        <v>197.50051691380236</v>
      </c>
      <c r="R25" s="4"/>
    </row>
    <row r="26" spans="2:18" x14ac:dyDescent="0.3">
      <c r="B26">
        <f t="shared" si="15"/>
        <v>0.11999999999999998</v>
      </c>
      <c r="C26">
        <f t="shared" si="3"/>
        <v>0.99988834665937043</v>
      </c>
      <c r="D26" s="6">
        <f t="shared" si="1"/>
        <v>0.6428571428571429</v>
      </c>
      <c r="E26" s="6">
        <f t="shared" si="9"/>
        <v>0.5</v>
      </c>
      <c r="F26" s="8">
        <f t="shared" si="4"/>
        <v>7.1999999999999981E-3</v>
      </c>
      <c r="G26" s="8">
        <f t="shared" si="5"/>
        <v>-2.0735999999999988E-4</v>
      </c>
      <c r="H26">
        <f t="shared" si="2"/>
        <v>1.4399999999999995</v>
      </c>
      <c r="I26">
        <f t="shared" si="2"/>
        <v>-4.1471999999999974E-2</v>
      </c>
      <c r="J26">
        <f t="shared" si="6"/>
        <v>1.3985279999999995</v>
      </c>
      <c r="K26">
        <f t="shared" si="7"/>
        <v>198.16</v>
      </c>
      <c r="L26">
        <f t="shared" si="10"/>
        <v>195.958528</v>
      </c>
      <c r="M26">
        <f t="shared" si="8"/>
        <v>0.81922762087250467</v>
      </c>
      <c r="N26">
        <f t="shared" si="11"/>
        <v>197.76203466897744</v>
      </c>
      <c r="O26">
        <f t="shared" si="12"/>
        <v>162.33814535209552</v>
      </c>
      <c r="P26">
        <f t="shared" si="13"/>
        <v>35.423889316881912</v>
      </c>
      <c r="Q26">
        <f t="shared" si="14"/>
        <v>197.76203466897744</v>
      </c>
      <c r="R26" s="4"/>
    </row>
    <row r="27" spans="2:18" x14ac:dyDescent="0.3">
      <c r="B27">
        <f t="shared" si="15"/>
        <v>0.12999999999999998</v>
      </c>
      <c r="C27">
        <f t="shared" si="3"/>
        <v>0.99986362967292053</v>
      </c>
      <c r="D27" s="6">
        <f t="shared" si="1"/>
        <v>0.6428571428571429</v>
      </c>
      <c r="E27" s="6">
        <f t="shared" si="9"/>
        <v>0.5</v>
      </c>
      <c r="F27" s="8">
        <f t="shared" si="4"/>
        <v>8.4499999999999974E-3</v>
      </c>
      <c r="G27" s="8">
        <f t="shared" si="5"/>
        <v>-2.8560999999999984E-4</v>
      </c>
      <c r="H27">
        <f t="shared" si="2"/>
        <v>1.6899999999999995</v>
      </c>
      <c r="I27">
        <f t="shared" si="2"/>
        <v>-5.7121999999999964E-2</v>
      </c>
      <c r="J27">
        <f t="shared" si="6"/>
        <v>1.6328779999999996</v>
      </c>
      <c r="K27">
        <f t="shared" si="7"/>
        <v>198.535</v>
      </c>
      <c r="L27">
        <f t="shared" si="10"/>
        <v>195.94287800000001</v>
      </c>
      <c r="M27">
        <f t="shared" si="8"/>
        <v>0.80958947231528988</v>
      </c>
      <c r="N27">
        <f t="shared" si="11"/>
        <v>198.04143268215685</v>
      </c>
      <c r="O27">
        <f t="shared" si="12"/>
        <v>160.73184588611608</v>
      </c>
      <c r="P27">
        <f t="shared" si="13"/>
        <v>37.309586796040776</v>
      </c>
      <c r="Q27">
        <f t="shared" si="14"/>
        <v>198.04143268215685</v>
      </c>
      <c r="R27" s="4"/>
    </row>
    <row r="28" spans="2:18" x14ac:dyDescent="0.3">
      <c r="B28">
        <f t="shared" si="15"/>
        <v>0.13999999999999999</v>
      </c>
      <c r="C28">
        <f t="shared" si="3"/>
        <v>0.99983344193522261</v>
      </c>
      <c r="D28" s="6">
        <f t="shared" si="1"/>
        <v>0.6428571428571429</v>
      </c>
      <c r="E28" s="6">
        <f t="shared" si="9"/>
        <v>0.5</v>
      </c>
      <c r="F28" s="8">
        <f t="shared" si="4"/>
        <v>9.7999999999999979E-3</v>
      </c>
      <c r="G28" s="8">
        <f t="shared" si="5"/>
        <v>-3.8415999999999982E-4</v>
      </c>
      <c r="H28">
        <f t="shared" si="2"/>
        <v>1.9599999999999995</v>
      </c>
      <c r="I28">
        <f t="shared" si="2"/>
        <v>-7.683199999999997E-2</v>
      </c>
      <c r="J28">
        <f t="shared" si="6"/>
        <v>1.8831679999999995</v>
      </c>
      <c r="K28">
        <f t="shared" si="7"/>
        <v>198.94</v>
      </c>
      <c r="L28">
        <f t="shared" si="10"/>
        <v>195.923168</v>
      </c>
      <c r="M28">
        <f t="shared" si="8"/>
        <v>0.8005249037736365</v>
      </c>
      <c r="N28">
        <f t="shared" si="11"/>
        <v>198.33821714650122</v>
      </c>
      <c r="O28">
        <f t="shared" si="12"/>
        <v>159.25642435672725</v>
      </c>
      <c r="P28">
        <f t="shared" si="13"/>
        <v>39.081792789773985</v>
      </c>
      <c r="Q28">
        <f t="shared" si="14"/>
        <v>198.33821714650122</v>
      </c>
      <c r="R28" s="4"/>
    </row>
    <row r="29" spans="2:18" x14ac:dyDescent="0.3">
      <c r="B29">
        <f t="shared" si="15"/>
        <v>0.15</v>
      </c>
      <c r="C29">
        <f t="shared" si="3"/>
        <v>0.9997965730219448</v>
      </c>
      <c r="D29" s="6">
        <f t="shared" si="1"/>
        <v>0.6428571428571429</v>
      </c>
      <c r="E29" s="6">
        <f t="shared" si="9"/>
        <v>0.5</v>
      </c>
      <c r="F29" s="8">
        <f t="shared" si="4"/>
        <v>1.125E-2</v>
      </c>
      <c r="G29" s="8">
        <f t="shared" si="5"/>
        <v>-5.0624999999999997E-4</v>
      </c>
      <c r="H29">
        <f t="shared" si="2"/>
        <v>2.25</v>
      </c>
      <c r="I29">
        <f t="shared" si="2"/>
        <v>-0.10124999999999999</v>
      </c>
      <c r="J29">
        <f t="shared" si="6"/>
        <v>2.1487500000000002</v>
      </c>
      <c r="K29">
        <f t="shared" si="7"/>
        <v>199.375</v>
      </c>
      <c r="L29">
        <f t="shared" si="10"/>
        <v>195.89875000000001</v>
      </c>
      <c r="M29">
        <f t="shared" si="8"/>
        <v>0.79199456416631753</v>
      </c>
      <c r="N29">
        <f t="shared" si="11"/>
        <v>198.65192110368315</v>
      </c>
      <c r="O29">
        <f t="shared" si="12"/>
        <v>157.90391623065955</v>
      </c>
      <c r="P29">
        <f t="shared" si="13"/>
        <v>40.748004873023604</v>
      </c>
      <c r="Q29">
        <f t="shared" si="14"/>
        <v>198.65192110368315</v>
      </c>
      <c r="R29" s="4"/>
    </row>
    <row r="30" spans="2:18" x14ac:dyDescent="0.3">
      <c r="B30">
        <f t="shared" si="15"/>
        <v>0.16</v>
      </c>
      <c r="C30">
        <f t="shared" si="3"/>
        <v>0.99975154491816065</v>
      </c>
      <c r="D30" s="6">
        <f t="shared" si="1"/>
        <v>0.6428571428571429</v>
      </c>
      <c r="E30" s="6">
        <f t="shared" si="9"/>
        <v>0.5</v>
      </c>
      <c r="F30" s="8">
        <f t="shared" si="4"/>
        <v>1.2800000000000001E-2</v>
      </c>
      <c r="G30" s="8">
        <f t="shared" si="5"/>
        <v>-6.5536000000000001E-4</v>
      </c>
      <c r="H30">
        <f t="shared" si="2"/>
        <v>2.56</v>
      </c>
      <c r="I30">
        <f t="shared" si="2"/>
        <v>-0.13107199999999999</v>
      </c>
      <c r="J30">
        <f t="shared" si="6"/>
        <v>2.428928</v>
      </c>
      <c r="K30">
        <f t="shared" si="7"/>
        <v>199.84</v>
      </c>
      <c r="L30">
        <f t="shared" si="10"/>
        <v>195.86892800000001</v>
      </c>
      <c r="M30">
        <f t="shared" si="8"/>
        <v>0.78396217055582418</v>
      </c>
      <c r="N30">
        <f t="shared" si="11"/>
        <v>198.98209822455345</v>
      </c>
      <c r="O30">
        <f t="shared" si="12"/>
        <v>156.66700016387591</v>
      </c>
      <c r="P30">
        <f t="shared" si="13"/>
        <v>42.315098060677556</v>
      </c>
      <c r="Q30">
        <f t="shared" si="14"/>
        <v>198.98209822455345</v>
      </c>
      <c r="R30" s="4"/>
    </row>
    <row r="31" spans="2:18" x14ac:dyDescent="0.3">
      <c r="B31">
        <f t="shared" si="15"/>
        <v>0.17</v>
      </c>
      <c r="C31">
        <f t="shared" si="3"/>
        <v>0.99969655296997106</v>
      </c>
      <c r="D31" s="6">
        <f t="shared" si="1"/>
        <v>0.6428571428571429</v>
      </c>
      <c r="E31" s="6">
        <f t="shared" si="9"/>
        <v>0.5</v>
      </c>
      <c r="F31" s="8">
        <f t="shared" si="4"/>
        <v>1.4450000000000003E-2</v>
      </c>
      <c r="G31" s="8">
        <f t="shared" si="5"/>
        <v>-8.3521000000000029E-4</v>
      </c>
      <c r="H31">
        <f t="shared" si="2"/>
        <v>2.8900000000000006</v>
      </c>
      <c r="I31">
        <f t="shared" si="2"/>
        <v>-0.16704200000000005</v>
      </c>
      <c r="J31">
        <f t="shared" si="6"/>
        <v>2.7229580000000007</v>
      </c>
      <c r="K31">
        <f t="shared" si="7"/>
        <v>200.33500000000001</v>
      </c>
      <c r="L31">
        <f t="shared" si="10"/>
        <v>195.83295799999999</v>
      </c>
      <c r="M31">
        <f t="shared" si="8"/>
        <v>0.77639420644272772</v>
      </c>
      <c r="N31">
        <f t="shared" si="11"/>
        <v>199.32831732596185</v>
      </c>
      <c r="O31">
        <f t="shared" si="12"/>
        <v>155.53893334770387</v>
      </c>
      <c r="P31">
        <f t="shared" si="13"/>
        <v>43.789383978257973</v>
      </c>
      <c r="Q31">
        <f t="shared" si="14"/>
        <v>199.32831732596185</v>
      </c>
      <c r="R31" s="4"/>
    </row>
    <row r="32" spans="2:18" x14ac:dyDescent="0.3">
      <c r="B32">
        <f t="shared" si="15"/>
        <v>0.18000000000000002</v>
      </c>
      <c r="C32">
        <f t="shared" si="3"/>
        <v>0.99962939385937355</v>
      </c>
      <c r="D32" s="6">
        <f t="shared" si="1"/>
        <v>0.6428571428571429</v>
      </c>
      <c r="E32" s="6">
        <f t="shared" si="9"/>
        <v>0.5</v>
      </c>
      <c r="F32" s="8">
        <f t="shared" si="4"/>
        <v>1.6200000000000003E-2</v>
      </c>
      <c r="G32" s="8">
        <f t="shared" si="5"/>
        <v>-1.0497600000000003E-3</v>
      </c>
      <c r="H32">
        <f t="shared" si="2"/>
        <v>3.2400000000000007</v>
      </c>
      <c r="I32">
        <f t="shared" si="2"/>
        <v>-0.20995200000000006</v>
      </c>
      <c r="J32">
        <f t="shared" si="6"/>
        <v>3.0300480000000007</v>
      </c>
      <c r="K32">
        <f t="shared" si="7"/>
        <v>200.86</v>
      </c>
      <c r="L32">
        <f t="shared" si="10"/>
        <v>195.79004800000001</v>
      </c>
      <c r="M32">
        <f t="shared" si="8"/>
        <v>0.76925964906354083</v>
      </c>
      <c r="N32">
        <f t="shared" si="11"/>
        <v>199.69015749628903</v>
      </c>
      <c r="O32">
        <f t="shared" si="12"/>
        <v>154.51349311090283</v>
      </c>
      <c r="P32">
        <f t="shared" si="13"/>
        <v>45.176664385386189</v>
      </c>
      <c r="Q32">
        <f t="shared" si="14"/>
        <v>199.69015749628903</v>
      </c>
      <c r="R32" s="4"/>
    </row>
    <row r="33" spans="2:18" x14ac:dyDescent="0.3">
      <c r="B33">
        <f t="shared" si="15"/>
        <v>0.19000000000000003</v>
      </c>
      <c r="C33">
        <f>1-1/(1+EXP(-20*(B33-(($N$10+$M$10)/2))))</f>
        <v>0.9995473777767595</v>
      </c>
      <c r="D33" s="6">
        <f t="shared" si="1"/>
        <v>0.6428571428571429</v>
      </c>
      <c r="E33" s="6">
        <f t="shared" si="9"/>
        <v>0.5</v>
      </c>
      <c r="F33" s="8">
        <f t="shared" si="4"/>
        <v>1.8050000000000007E-2</v>
      </c>
      <c r="G33" s="8">
        <f t="shared" si="5"/>
        <v>-1.303210000000001E-3</v>
      </c>
      <c r="H33">
        <f t="shared" si="2"/>
        <v>3.6100000000000012</v>
      </c>
      <c r="I33">
        <f t="shared" si="2"/>
        <v>-0.26064200000000021</v>
      </c>
      <c r="J33">
        <f t="shared" si="6"/>
        <v>3.3493580000000009</v>
      </c>
      <c r="K33">
        <f t="shared" si="7"/>
        <v>201.41499999999999</v>
      </c>
      <c r="L33">
        <f t="shared" si="10"/>
        <v>195.73935800000001</v>
      </c>
      <c r="M33">
        <f t="shared" si="8"/>
        <v>0.76252972152243914</v>
      </c>
      <c r="N33">
        <f t="shared" si="11"/>
        <v>200.06720371372106</v>
      </c>
      <c r="O33">
        <f t="shared" si="12"/>
        <v>153.58492386044207</v>
      </c>
      <c r="P33">
        <f t="shared" si="13"/>
        <v>46.482279853278982</v>
      </c>
      <c r="Q33">
        <f t="shared" si="14"/>
        <v>200.06720371372106</v>
      </c>
      <c r="R33" s="4"/>
    </row>
    <row r="34" spans="2:18" x14ac:dyDescent="0.3">
      <c r="B34">
        <f t="shared" si="15"/>
        <v>0.20000000000000004</v>
      </c>
      <c r="C34">
        <f t="shared" si="3"/>
        <v>0.9994472213630764</v>
      </c>
      <c r="D34" s="6">
        <f t="shared" si="1"/>
        <v>0.6428571428571429</v>
      </c>
      <c r="E34" s="6">
        <f t="shared" si="9"/>
        <v>0.5</v>
      </c>
      <c r="F34" s="8">
        <f t="shared" si="4"/>
        <v>2.0000000000000007E-2</v>
      </c>
      <c r="G34" s="8">
        <f t="shared" si="5"/>
        <v>-1.6000000000000012E-3</v>
      </c>
      <c r="H34">
        <f t="shared" si="2"/>
        <v>4.0000000000000018</v>
      </c>
      <c r="I34">
        <f t="shared" si="2"/>
        <v>-0.32000000000000023</v>
      </c>
      <c r="J34">
        <f t="shared" si="6"/>
        <v>3.6800000000000015</v>
      </c>
      <c r="K34">
        <f t="shared" si="7"/>
        <v>202</v>
      </c>
      <c r="L34">
        <f t="shared" si="10"/>
        <v>195.68</v>
      </c>
      <c r="M34">
        <f t="shared" si="8"/>
        <v>0.75617766598116698</v>
      </c>
      <c r="N34">
        <f t="shared" si="11"/>
        <v>200.45904284900098</v>
      </c>
      <c r="O34">
        <f t="shared" si="12"/>
        <v>152.74788852819572</v>
      </c>
      <c r="P34">
        <f t="shared" si="13"/>
        <v>47.71115432080525</v>
      </c>
      <c r="Q34">
        <f t="shared" si="14"/>
        <v>200.45904284900098</v>
      </c>
      <c r="R34" s="4"/>
    </row>
    <row r="35" spans="2:18" x14ac:dyDescent="0.3">
      <c r="B35">
        <f t="shared" si="15"/>
        <v>0.21000000000000005</v>
      </c>
      <c r="C35">
        <f t="shared" si="3"/>
        <v>0.99932491726936712</v>
      </c>
      <c r="D35" s="6">
        <f t="shared" si="1"/>
        <v>0.6428571428571429</v>
      </c>
      <c r="E35" s="6">
        <f t="shared" si="9"/>
        <v>0.5</v>
      </c>
      <c r="F35" s="8">
        <f t="shared" si="4"/>
        <v>2.2050000000000011E-2</v>
      </c>
      <c r="G35" s="8">
        <f t="shared" si="5"/>
        <v>-1.9448100000000019E-3</v>
      </c>
      <c r="H35">
        <f t="shared" si="2"/>
        <v>4.4100000000000019</v>
      </c>
      <c r="I35">
        <f t="shared" si="2"/>
        <v>-0.38896200000000036</v>
      </c>
      <c r="J35">
        <f t="shared" si="6"/>
        <v>4.0210380000000017</v>
      </c>
      <c r="K35">
        <f t="shared" si="7"/>
        <v>202.61500000000001</v>
      </c>
      <c r="L35">
        <f t="shared" si="10"/>
        <v>195.61103800000001</v>
      </c>
      <c r="M35">
        <f t="shared" si="8"/>
        <v>0.7501785344386207</v>
      </c>
      <c r="N35">
        <f t="shared" si="11"/>
        <v>200.86525994842381</v>
      </c>
      <c r="O35">
        <f t="shared" si="12"/>
        <v>151.99742375528115</v>
      </c>
      <c r="P35">
        <f t="shared" si="13"/>
        <v>48.867836193142658</v>
      </c>
      <c r="Q35">
        <f t="shared" si="14"/>
        <v>200.86525994842381</v>
      </c>
      <c r="R35" s="4"/>
    </row>
    <row r="36" spans="2:18" x14ac:dyDescent="0.3">
      <c r="B36">
        <f t="shared" si="15"/>
        <v>0.22000000000000006</v>
      </c>
      <c r="C36">
        <f t="shared" si="3"/>
        <v>0.99917557531360168</v>
      </c>
      <c r="D36" s="6">
        <f t="shared" si="1"/>
        <v>0.6428571428571429</v>
      </c>
      <c r="E36" s="6">
        <f t="shared" si="9"/>
        <v>0.5</v>
      </c>
      <c r="F36" s="8">
        <f t="shared" si="4"/>
        <v>2.4200000000000013E-2</v>
      </c>
      <c r="G36" s="8">
        <f t="shared" si="5"/>
        <v>-2.3425600000000026E-3</v>
      </c>
      <c r="H36">
        <f t="shared" si="2"/>
        <v>4.8400000000000025</v>
      </c>
      <c r="I36">
        <f t="shared" si="2"/>
        <v>-0.46851200000000054</v>
      </c>
      <c r="J36">
        <f t="shared" si="6"/>
        <v>4.371488000000002</v>
      </c>
      <c r="K36">
        <f t="shared" si="7"/>
        <v>203.26</v>
      </c>
      <c r="L36">
        <f t="shared" si="10"/>
        <v>195.531488</v>
      </c>
      <c r="M36">
        <f t="shared" si="8"/>
        <v>0.7445089938594458</v>
      </c>
      <c r="N36">
        <f t="shared" si="11"/>
        <v>201.28543469315065</v>
      </c>
      <c r="O36">
        <f t="shared" si="12"/>
        <v>151.32889809187094</v>
      </c>
      <c r="P36">
        <f t="shared" si="13"/>
        <v>49.956536601279701</v>
      </c>
      <c r="Q36">
        <f t="shared" si="14"/>
        <v>201.28543469315065</v>
      </c>
      <c r="R36" s="4"/>
    </row>
    <row r="37" spans="2:18" x14ac:dyDescent="0.3">
      <c r="B37">
        <f t="shared" si="15"/>
        <v>0.23000000000000007</v>
      </c>
      <c r="C37">
        <f t="shared" si="3"/>
        <v>0.9989932291799144</v>
      </c>
      <c r="D37" s="6">
        <f t="shared" si="1"/>
        <v>0.6428571428571429</v>
      </c>
      <c r="E37" s="6">
        <f t="shared" si="9"/>
        <v>0.5</v>
      </c>
      <c r="F37" s="8">
        <f t="shared" si="4"/>
        <v>2.6450000000000015E-2</v>
      </c>
      <c r="G37" s="8">
        <f t="shared" si="5"/>
        <v>-2.7984100000000033E-3</v>
      </c>
      <c r="H37">
        <f t="shared" si="2"/>
        <v>5.2900000000000027</v>
      </c>
      <c r="I37">
        <f t="shared" si="2"/>
        <v>-0.55968200000000068</v>
      </c>
      <c r="J37">
        <f t="shared" si="6"/>
        <v>4.7303180000000022</v>
      </c>
      <c r="K37">
        <f t="shared" si="7"/>
        <v>203.935</v>
      </c>
      <c r="L37">
        <f t="shared" si="10"/>
        <v>195.44031799999999</v>
      </c>
      <c r="M37">
        <f t="shared" si="8"/>
        <v>0.73914714256512637</v>
      </c>
      <c r="N37">
        <f t="shared" si="11"/>
        <v>201.71913792729941</v>
      </c>
      <c r="O37">
        <f t="shared" si="12"/>
        <v>150.73797251901905</v>
      </c>
      <c r="P37">
        <f t="shared" si="13"/>
        <v>50.981165408280361</v>
      </c>
      <c r="Q37">
        <f t="shared" si="14"/>
        <v>201.71913792729941</v>
      </c>
      <c r="R37" s="4"/>
    </row>
    <row r="38" spans="2:18" x14ac:dyDescent="0.3">
      <c r="B38">
        <f t="shared" si="15"/>
        <v>0.24000000000000007</v>
      </c>
      <c r="C38">
        <f t="shared" si="3"/>
        <v>0.99877060137872253</v>
      </c>
      <c r="D38" s="6">
        <f t="shared" si="1"/>
        <v>0.6428571428571429</v>
      </c>
      <c r="E38" s="6">
        <f t="shared" si="9"/>
        <v>0.5</v>
      </c>
      <c r="F38" s="8">
        <f t="shared" si="4"/>
        <v>2.8800000000000017E-2</v>
      </c>
      <c r="G38" s="8">
        <f t="shared" si="5"/>
        <v>-3.3177600000000038E-3</v>
      </c>
      <c r="H38">
        <f t="shared" si="2"/>
        <v>5.7600000000000033</v>
      </c>
      <c r="I38">
        <f t="shared" si="2"/>
        <v>-0.66355200000000081</v>
      </c>
      <c r="J38">
        <f t="shared" si="6"/>
        <v>5.0964480000000023</v>
      </c>
      <c r="K38">
        <f t="shared" si="7"/>
        <v>204.64000000000001</v>
      </c>
      <c r="L38">
        <f t="shared" si="10"/>
        <v>195.33644799999999</v>
      </c>
      <c r="M38">
        <f t="shared" si="8"/>
        <v>0.73407233488561874</v>
      </c>
      <c r="N38">
        <f t="shared" si="11"/>
        <v>202.16592813936978</v>
      </c>
      <c r="O38">
        <f t="shared" si="12"/>
        <v>150.22056261099303</v>
      </c>
      <c r="P38">
        <f t="shared" si="13"/>
        <v>51.945365528376747</v>
      </c>
      <c r="Q38">
        <f t="shared" si="14"/>
        <v>202.16592813936978</v>
      </c>
      <c r="R38" s="4"/>
    </row>
    <row r="39" spans="2:18" x14ac:dyDescent="0.3">
      <c r="B39">
        <f t="shared" si="15"/>
        <v>0.25000000000000006</v>
      </c>
      <c r="C39">
        <f t="shared" si="3"/>
        <v>0.99849881774326299</v>
      </c>
      <c r="D39" s="6">
        <f t="shared" si="1"/>
        <v>0.6428571428571429</v>
      </c>
      <c r="E39" s="6">
        <f t="shared" si="9"/>
        <v>0.5</v>
      </c>
      <c r="F39" s="8">
        <f t="shared" si="4"/>
        <v>3.1250000000000014E-2</v>
      </c>
      <c r="G39" s="8">
        <f t="shared" si="5"/>
        <v>-3.9062500000000035E-3</v>
      </c>
      <c r="H39">
        <f t="shared" si="2"/>
        <v>6.2500000000000027</v>
      </c>
      <c r="I39">
        <f t="shared" si="2"/>
        <v>-0.78125000000000067</v>
      </c>
      <c r="J39">
        <f t="shared" si="6"/>
        <v>5.4687500000000018</v>
      </c>
      <c r="K39">
        <f t="shared" si="7"/>
        <v>205.375</v>
      </c>
      <c r="L39">
        <f t="shared" si="10"/>
        <v>195.21875</v>
      </c>
      <c r="M39">
        <f t="shared" si="8"/>
        <v>0.72926501108786945</v>
      </c>
      <c r="N39">
        <f t="shared" si="11"/>
        <v>202.62534776886116</v>
      </c>
      <c r="O39">
        <f t="shared" si="12"/>
        <v>149.77280165217118</v>
      </c>
      <c r="P39">
        <f t="shared" si="13"/>
        <v>52.852546116689986</v>
      </c>
      <c r="Q39">
        <f t="shared" si="14"/>
        <v>202.62534776886116</v>
      </c>
      <c r="R39" s="4"/>
    </row>
    <row r="40" spans="2:18" x14ac:dyDescent="0.3">
      <c r="B40">
        <f t="shared" si="15"/>
        <v>0.26000000000000006</v>
      </c>
      <c r="C40">
        <f t="shared" si="3"/>
        <v>0.99816706105750719</v>
      </c>
      <c r="D40" s="6">
        <f t="shared" si="1"/>
        <v>0.6428571428571429</v>
      </c>
      <c r="E40" s="6">
        <f t="shared" si="9"/>
        <v>0.5</v>
      </c>
      <c r="F40" s="8">
        <f t="shared" si="4"/>
        <v>3.3800000000000018E-2</v>
      </c>
      <c r="G40" s="8">
        <f t="shared" si="5"/>
        <v>-4.5697600000000052E-3</v>
      </c>
      <c r="H40">
        <f t="shared" si="2"/>
        <v>6.7600000000000033</v>
      </c>
      <c r="I40">
        <f t="shared" si="2"/>
        <v>-0.91395200000000099</v>
      </c>
      <c r="J40">
        <f t="shared" si="6"/>
        <v>5.8460480000000024</v>
      </c>
      <c r="K40">
        <f t="shared" si="7"/>
        <v>206.14000000000001</v>
      </c>
      <c r="L40">
        <f t="shared" si="10"/>
        <v>195.08604800000001</v>
      </c>
      <c r="M40">
        <f t="shared" si="8"/>
        <v>0.72470652955257187</v>
      </c>
      <c r="N40">
        <f t="shared" si="11"/>
        <v>203.09691919176072</v>
      </c>
      <c r="O40">
        <f t="shared" si="12"/>
        <v>149.39100400196716</v>
      </c>
      <c r="P40">
        <f t="shared" si="13"/>
        <v>53.705915189793551</v>
      </c>
      <c r="Q40">
        <f t="shared" si="14"/>
        <v>203.09691919176072</v>
      </c>
      <c r="R40" s="4"/>
    </row>
    <row r="41" spans="2:18" x14ac:dyDescent="0.3">
      <c r="B41">
        <f t="shared" si="15"/>
        <v>0.27000000000000007</v>
      </c>
      <c r="C41">
        <f t="shared" si="3"/>
        <v>0.99776215147872371</v>
      </c>
      <c r="D41" s="6">
        <f t="shared" si="1"/>
        <v>0.6428571428571429</v>
      </c>
      <c r="E41" s="6">
        <f t="shared" si="9"/>
        <v>0.5</v>
      </c>
      <c r="F41" s="8">
        <f t="shared" si="4"/>
        <v>3.6450000000000017E-2</v>
      </c>
      <c r="G41" s="8">
        <f t="shared" si="5"/>
        <v>-5.3144100000000047E-3</v>
      </c>
      <c r="H41">
        <f t="shared" si="2"/>
        <v>7.2900000000000036</v>
      </c>
      <c r="I41">
        <f t="shared" si="2"/>
        <v>-1.062882000000001</v>
      </c>
      <c r="J41">
        <f t="shared" si="6"/>
        <v>6.2271180000000026</v>
      </c>
      <c r="K41">
        <f t="shared" si="7"/>
        <v>206.935</v>
      </c>
      <c r="L41">
        <f t="shared" si="10"/>
        <v>194.937118</v>
      </c>
      <c r="M41">
        <f t="shared" si="8"/>
        <v>0.7203789980660571</v>
      </c>
      <c r="N41">
        <f t="shared" si="11"/>
        <v>203.58014021407479</v>
      </c>
      <c r="O41">
        <f t="shared" si="12"/>
        <v>149.07162796479952</v>
      </c>
      <c r="P41">
        <f t="shared" si="13"/>
        <v>54.508512249275256</v>
      </c>
      <c r="Q41">
        <f t="shared" si="14"/>
        <v>203.58014021407479</v>
      </c>
      <c r="R41" s="4"/>
    </row>
    <row r="42" spans="2:18" x14ac:dyDescent="0.3">
      <c r="B42">
        <f t="shared" si="15"/>
        <v>0.28000000000000008</v>
      </c>
      <c r="C42">
        <f t="shared" si="3"/>
        <v>0.99726803923698892</v>
      </c>
      <c r="D42" s="6">
        <f t="shared" si="1"/>
        <v>0.6428571428571429</v>
      </c>
      <c r="E42" s="6">
        <f t="shared" si="9"/>
        <v>0.5</v>
      </c>
      <c r="F42" s="8">
        <f t="shared" si="4"/>
        <v>3.920000000000002E-2</v>
      </c>
      <c r="G42" s="8">
        <f t="shared" si="5"/>
        <v>-6.1465600000000058E-3</v>
      </c>
      <c r="H42">
        <f t="shared" si="2"/>
        <v>7.8400000000000043</v>
      </c>
      <c r="I42">
        <f t="shared" si="2"/>
        <v>-1.2293120000000011</v>
      </c>
      <c r="J42">
        <f t="shared" si="6"/>
        <v>6.6106880000000032</v>
      </c>
      <c r="K42">
        <f t="shared" si="7"/>
        <v>207.76000000000002</v>
      </c>
      <c r="L42">
        <f t="shared" si="10"/>
        <v>194.77068800000001</v>
      </c>
      <c r="M42">
        <f t="shared" si="8"/>
        <v>0.71626510093618045</v>
      </c>
      <c r="N42">
        <f t="shared" si="11"/>
        <v>204.07447887077154</v>
      </c>
      <c r="O42">
        <f t="shared" si="12"/>
        <v>148.81123737050086</v>
      </c>
      <c r="P42">
        <f t="shared" si="13"/>
        <v>55.263241500270688</v>
      </c>
      <c r="Q42">
        <f t="shared" si="14"/>
        <v>204.07447887077154</v>
      </c>
      <c r="R42" s="4"/>
    </row>
    <row r="43" spans="2:18" x14ac:dyDescent="0.3">
      <c r="B43">
        <f t="shared" si="15"/>
        <v>0.29000000000000009</v>
      </c>
      <c r="C43">
        <f t="shared" si="3"/>
        <v>0.99666519269258669</v>
      </c>
      <c r="D43" s="6">
        <f t="shared" si="1"/>
        <v>0.6428571428571429</v>
      </c>
      <c r="E43" s="6">
        <f t="shared" si="9"/>
        <v>0.5</v>
      </c>
      <c r="F43" s="8">
        <f t="shared" si="4"/>
        <v>4.2050000000000025E-2</v>
      </c>
      <c r="G43" s="8">
        <f t="shared" si="5"/>
        <v>-7.0728100000000084E-3</v>
      </c>
      <c r="H43">
        <f t="shared" si="2"/>
        <v>8.4100000000000055</v>
      </c>
      <c r="I43">
        <f t="shared" si="2"/>
        <v>-1.4145620000000017</v>
      </c>
      <c r="J43">
        <f t="shared" si="6"/>
        <v>6.9954380000000036</v>
      </c>
      <c r="K43">
        <f t="shared" si="7"/>
        <v>208.61500000000001</v>
      </c>
      <c r="L43">
        <f t="shared" si="10"/>
        <v>194.58543800000001</v>
      </c>
      <c r="M43">
        <f t="shared" si="8"/>
        <v>0.71234791843949574</v>
      </c>
      <c r="N43">
        <f t="shared" si="11"/>
        <v>204.57936728731784</v>
      </c>
      <c r="O43">
        <f t="shared" si="12"/>
        <v>148.6064610052554</v>
      </c>
      <c r="P43">
        <f t="shared" si="13"/>
        <v>55.972906282062446</v>
      </c>
      <c r="Q43">
        <f t="shared" si="14"/>
        <v>204.57936728731784</v>
      </c>
      <c r="R43" s="4"/>
    </row>
    <row r="44" spans="2:18" x14ac:dyDescent="0.3">
      <c r="B44">
        <f t="shared" si="15"/>
        <v>0.3000000000000001</v>
      </c>
      <c r="C44">
        <f t="shared" si="3"/>
        <v>0.99592986228410385</v>
      </c>
      <c r="D44" s="6">
        <f t="shared" si="1"/>
        <v>0.6428571428571429</v>
      </c>
      <c r="E44" s="6">
        <f t="shared" si="9"/>
        <v>0.5</v>
      </c>
      <c r="F44" s="8">
        <f t="shared" si="4"/>
        <v>4.5000000000000033E-2</v>
      </c>
      <c r="G44" s="8">
        <f t="shared" si="5"/>
        <v>-8.1000000000000117E-3</v>
      </c>
      <c r="H44">
        <f t="shared" si="2"/>
        <v>9.0000000000000071</v>
      </c>
      <c r="I44">
        <f t="shared" si="2"/>
        <v>-1.6200000000000023</v>
      </c>
      <c r="J44">
        <f t="shared" si="6"/>
        <v>7.3800000000000043</v>
      </c>
      <c r="K44">
        <f t="shared" si="7"/>
        <v>209.5</v>
      </c>
      <c r="L44">
        <f t="shared" si="10"/>
        <v>194.38</v>
      </c>
      <c r="M44">
        <f t="shared" si="8"/>
        <v>0.70861073487905735</v>
      </c>
      <c r="N44">
        <f t="shared" si="11"/>
        <v>205.09419431137133</v>
      </c>
      <c r="O44">
        <f t="shared" si="12"/>
        <v>148.45394895716251</v>
      </c>
      <c r="P44">
        <f t="shared" si="13"/>
        <v>56.64024535420883</v>
      </c>
      <c r="Q44">
        <f t="shared" si="14"/>
        <v>205.09419431137133</v>
      </c>
      <c r="R44" s="4"/>
    </row>
    <row r="45" spans="2:18" x14ac:dyDescent="0.3">
      <c r="B45">
        <f t="shared" si="15"/>
        <v>0.31000000000000011</v>
      </c>
      <c r="C45">
        <f t="shared" si="3"/>
        <v>0.99503319834994297</v>
      </c>
      <c r="D45" s="6">
        <f t="shared" si="1"/>
        <v>0.6428571428571429</v>
      </c>
      <c r="E45" s="6">
        <f t="shared" si="9"/>
        <v>0.5</v>
      </c>
      <c r="F45" s="8">
        <f t="shared" si="4"/>
        <v>4.8050000000000037E-2</v>
      </c>
      <c r="G45" s="8">
        <f t="shared" si="5"/>
        <v>-9.2352100000000145E-3</v>
      </c>
      <c r="H45">
        <f t="shared" si="2"/>
        <v>9.6100000000000065</v>
      </c>
      <c r="I45">
        <f t="shared" si="2"/>
        <v>-1.847042000000003</v>
      </c>
      <c r="J45">
        <f t="shared" si="6"/>
        <v>7.7629580000000038</v>
      </c>
      <c r="K45">
        <f t="shared" si="7"/>
        <v>210.41500000000002</v>
      </c>
      <c r="L45">
        <f t="shared" si="10"/>
        <v>194.15295799999998</v>
      </c>
      <c r="M45">
        <f t="shared" si="8"/>
        <v>0.70503683130632655</v>
      </c>
      <c r="N45">
        <f t="shared" si="11"/>
        <v>205.61829656225041</v>
      </c>
      <c r="O45">
        <f t="shared" si="12"/>
        <v>148.35032485932072</v>
      </c>
      <c r="P45">
        <f t="shared" si="13"/>
        <v>57.267971702929692</v>
      </c>
      <c r="Q45">
        <f t="shared" si="14"/>
        <v>205.61829656225041</v>
      </c>
      <c r="R45" s="7"/>
    </row>
    <row r="46" spans="2:18" x14ac:dyDescent="0.3">
      <c r="B46">
        <f t="shared" si="15"/>
        <v>0.32000000000000012</v>
      </c>
      <c r="C46">
        <f t="shared" si="3"/>
        <v>0.99394019850841586</v>
      </c>
      <c r="D46" s="6">
        <f t="shared" si="1"/>
        <v>0.6428571428571429</v>
      </c>
      <c r="E46" s="6">
        <f t="shared" si="9"/>
        <v>0.5</v>
      </c>
      <c r="F46" s="8">
        <f t="shared" si="4"/>
        <v>5.1200000000000037E-2</v>
      </c>
      <c r="G46" s="8">
        <f t="shared" si="5"/>
        <v>-1.0485760000000016E-2</v>
      </c>
      <c r="H46">
        <f t="shared" ref="H46:I77" si="16">F46*$F$7</f>
        <v>10.240000000000007</v>
      </c>
      <c r="I46">
        <f t="shared" si="16"/>
        <v>-2.097152000000003</v>
      </c>
      <c r="J46">
        <f t="shared" si="6"/>
        <v>8.1428480000000043</v>
      </c>
      <c r="K46">
        <f t="shared" si="7"/>
        <v>211.36</v>
      </c>
      <c r="L46">
        <f t="shared" si="10"/>
        <v>193.90284800000001</v>
      </c>
      <c r="M46">
        <f t="shared" si="8"/>
        <v>0.70160925878283287</v>
      </c>
      <c r="N46">
        <f t="shared" si="11"/>
        <v>206.15094747517924</v>
      </c>
      <c r="O46">
        <f t="shared" si="12"/>
        <v>148.29213293633956</v>
      </c>
      <c r="P46">
        <f t="shared" si="13"/>
        <v>57.858814538839695</v>
      </c>
      <c r="Q46">
        <f t="shared" si="14"/>
        <v>206.15094747517924</v>
      </c>
      <c r="R46" s="4"/>
    </row>
    <row r="47" spans="2:18" x14ac:dyDescent="0.3">
      <c r="B47">
        <f t="shared" si="15"/>
        <v>0.33000000000000013</v>
      </c>
      <c r="C47">
        <f t="shared" si="3"/>
        <v>0.99260845865571801</v>
      </c>
      <c r="D47" s="6">
        <f t="shared" si="1"/>
        <v>0.6428571428571429</v>
      </c>
      <c r="E47" s="6">
        <f t="shared" si="9"/>
        <v>0.5</v>
      </c>
      <c r="F47" s="8">
        <f t="shared" si="4"/>
        <v>5.445000000000004E-2</v>
      </c>
      <c r="G47" s="8">
        <f t="shared" si="5"/>
        <v>-1.1859210000000018E-2</v>
      </c>
      <c r="H47">
        <f t="shared" si="16"/>
        <v>10.890000000000008</v>
      </c>
      <c r="I47">
        <f t="shared" si="16"/>
        <v>-2.3718420000000036</v>
      </c>
      <c r="J47">
        <f t="shared" si="6"/>
        <v>8.5181580000000032</v>
      </c>
      <c r="K47">
        <f t="shared" si="7"/>
        <v>212.33500000000001</v>
      </c>
      <c r="L47">
        <f t="shared" si="10"/>
        <v>193.62815799999998</v>
      </c>
      <c r="M47">
        <f t="shared" si="8"/>
        <v>0.6983105879993754</v>
      </c>
      <c r="N47">
        <f t="shared" si="11"/>
        <v>206.69134383663143</v>
      </c>
      <c r="O47">
        <f t="shared" si="12"/>
        <v>148.27577870284739</v>
      </c>
      <c r="P47">
        <f t="shared" si="13"/>
        <v>58.415565133784035</v>
      </c>
      <c r="Q47">
        <f t="shared" si="14"/>
        <v>206.69134383663143</v>
      </c>
      <c r="R47" s="4"/>
    </row>
    <row r="48" spans="2:18" x14ac:dyDescent="0.3">
      <c r="B48">
        <f t="shared" si="15"/>
        <v>0.34000000000000014</v>
      </c>
      <c r="C48">
        <f t="shared" si="3"/>
        <v>0.99098670134715217</v>
      </c>
      <c r="D48" s="6">
        <f t="shared" si="1"/>
        <v>0.6428571428571429</v>
      </c>
      <c r="E48" s="6">
        <f t="shared" si="9"/>
        <v>0.5</v>
      </c>
      <c r="F48" s="8">
        <f t="shared" si="4"/>
        <v>5.7800000000000046E-2</v>
      </c>
      <c r="G48" s="8">
        <f t="shared" si="5"/>
        <v>-1.3363360000000022E-2</v>
      </c>
      <c r="H48">
        <f t="shared" si="16"/>
        <v>11.560000000000009</v>
      </c>
      <c r="I48">
        <f t="shared" si="16"/>
        <v>-2.6726720000000044</v>
      </c>
      <c r="J48">
        <f t="shared" si="6"/>
        <v>8.8873280000000054</v>
      </c>
      <c r="K48">
        <f t="shared" si="7"/>
        <v>213.34</v>
      </c>
      <c r="L48">
        <f t="shared" si="10"/>
        <v>193.32732799999999</v>
      </c>
      <c r="M48">
        <f t="shared" si="8"/>
        <v>0.69512263124227647</v>
      </c>
      <c r="N48">
        <f t="shared" si="11"/>
        <v>207.23858921882865</v>
      </c>
      <c r="O48">
        <f t="shared" si="12"/>
        <v>148.29746214922727</v>
      </c>
      <c r="P48">
        <f t="shared" si="13"/>
        <v>58.941127069601372</v>
      </c>
      <c r="Q48">
        <f t="shared" si="14"/>
        <v>207.23858921882865</v>
      </c>
      <c r="R48" s="4"/>
    </row>
    <row r="49" spans="2:18" x14ac:dyDescent="0.3">
      <c r="B49">
        <f t="shared" si="15"/>
        <v>0.35000000000000014</v>
      </c>
      <c r="C49">
        <f t="shared" si="3"/>
        <v>0.98901305736940681</v>
      </c>
      <c r="D49" s="6">
        <f t="shared" si="1"/>
        <v>0.6428571428571429</v>
      </c>
      <c r="E49" s="6">
        <f t="shared" si="9"/>
        <v>0.5</v>
      </c>
      <c r="F49" s="8">
        <f t="shared" si="4"/>
        <v>6.1250000000000047E-2</v>
      </c>
      <c r="G49" s="8">
        <f t="shared" si="5"/>
        <v>-1.5006250000000023E-2</v>
      </c>
      <c r="H49">
        <f t="shared" si="16"/>
        <v>12.250000000000009</v>
      </c>
      <c r="I49">
        <f t="shared" si="16"/>
        <v>-3.0012500000000046</v>
      </c>
      <c r="J49">
        <f t="shared" si="6"/>
        <v>9.2487500000000047</v>
      </c>
      <c r="K49">
        <f t="shared" si="7"/>
        <v>214.375</v>
      </c>
      <c r="L49">
        <f t="shared" si="10"/>
        <v>192.99875</v>
      </c>
      <c r="M49">
        <f t="shared" si="8"/>
        <v>0.69202613326035767</v>
      </c>
      <c r="N49">
        <f t="shared" si="11"/>
        <v>207.79167363110673</v>
      </c>
      <c r="O49">
        <f t="shared" si="12"/>
        <v>148.35310231768918</v>
      </c>
      <c r="P49">
        <f t="shared" si="13"/>
        <v>59.438571313417548</v>
      </c>
      <c r="Q49">
        <f t="shared" si="14"/>
        <v>207.79167363110673</v>
      </c>
      <c r="R49" s="4"/>
    </row>
    <row r="50" spans="2:18" x14ac:dyDescent="0.3">
      <c r="B50">
        <f t="shared" si="15"/>
        <v>0.36000000000000015</v>
      </c>
      <c r="C50">
        <f t="shared" si="3"/>
        <v>0.98661308217233512</v>
      </c>
      <c r="D50" s="6">
        <f t="shared" si="1"/>
        <v>0.6428571428571429</v>
      </c>
      <c r="E50" s="6">
        <f t="shared" si="9"/>
        <v>0.5</v>
      </c>
      <c r="F50" s="8">
        <f t="shared" si="4"/>
        <v>6.4800000000000052E-2</v>
      </c>
      <c r="G50" s="8">
        <f t="shared" si="5"/>
        <v>-1.6796160000000025E-2</v>
      </c>
      <c r="H50">
        <f t="shared" si="16"/>
        <v>12.96000000000001</v>
      </c>
      <c r="I50">
        <f t="shared" si="16"/>
        <v>-3.3592320000000049</v>
      </c>
      <c r="J50">
        <f t="shared" si="6"/>
        <v>9.6007680000000057</v>
      </c>
      <c r="K50">
        <f t="shared" si="7"/>
        <v>215.44000000000003</v>
      </c>
      <c r="L50">
        <f t="shared" si="10"/>
        <v>192.64076800000001</v>
      </c>
      <c r="M50">
        <f t="shared" si="8"/>
        <v>0.68900042877855106</v>
      </c>
      <c r="N50">
        <f t="shared" si="11"/>
        <v>208.34944862382167</v>
      </c>
      <c r="O50">
        <f t="shared" si="12"/>
        <v>148.43825237605105</v>
      </c>
      <c r="P50">
        <f t="shared" si="13"/>
        <v>59.911196247770626</v>
      </c>
      <c r="Q50">
        <f t="shared" si="14"/>
        <v>208.34944862382167</v>
      </c>
      <c r="R50" s="4"/>
    </row>
    <row r="51" spans="2:18" x14ac:dyDescent="0.3">
      <c r="B51">
        <f t="shared" si="15"/>
        <v>0.37000000000000016</v>
      </c>
      <c r="C51">
        <f t="shared" si="3"/>
        <v>0.98369750062855899</v>
      </c>
      <c r="D51" s="6">
        <f t="shared" si="1"/>
        <v>0.6428571428571429</v>
      </c>
      <c r="E51" s="6">
        <f t="shared" si="9"/>
        <v>0.5</v>
      </c>
      <c r="F51" s="8">
        <f t="shared" si="4"/>
        <v>6.8450000000000066E-2</v>
      </c>
      <c r="G51" s="8">
        <f t="shared" si="5"/>
        <v>-1.8741610000000037E-2</v>
      </c>
      <c r="H51">
        <f t="shared" si="16"/>
        <v>13.690000000000014</v>
      </c>
      <c r="I51">
        <f t="shared" si="16"/>
        <v>-3.7483220000000075</v>
      </c>
      <c r="J51">
        <f t="shared" si="6"/>
        <v>9.9416780000000067</v>
      </c>
      <c r="K51">
        <f t="shared" si="7"/>
        <v>216.53500000000003</v>
      </c>
      <c r="L51">
        <f t="shared" si="10"/>
        <v>192.251678</v>
      </c>
      <c r="M51">
        <f t="shared" si="8"/>
        <v>0.68602306655615219</v>
      </c>
      <c r="N51">
        <f t="shared" si="11"/>
        <v>208.9105970246105</v>
      </c>
      <c r="O51">
        <f t="shared" si="12"/>
        <v>148.54800471673644</v>
      </c>
      <c r="P51">
        <f t="shared" si="13"/>
        <v>60.36259230787406</v>
      </c>
      <c r="Q51">
        <f t="shared" si="14"/>
        <v>208.9105970246105</v>
      </c>
      <c r="R51" s="7"/>
    </row>
    <row r="52" spans="2:18" x14ac:dyDescent="0.3">
      <c r="B52">
        <f t="shared" si="15"/>
        <v>0.38000000000000017</v>
      </c>
      <c r="C52">
        <f t="shared" si="3"/>
        <v>0.98015969426592242</v>
      </c>
      <c r="D52" s="6">
        <f t="shared" si="1"/>
        <v>0.6428571428571429</v>
      </c>
      <c r="E52" s="6">
        <f t="shared" si="9"/>
        <v>0.5</v>
      </c>
      <c r="F52" s="8">
        <f t="shared" si="4"/>
        <v>7.220000000000007E-2</v>
      </c>
      <c r="G52" s="8">
        <f t="shared" si="5"/>
        <v>-2.0851360000000041E-2</v>
      </c>
      <c r="H52">
        <f t="shared" si="16"/>
        <v>14.440000000000014</v>
      </c>
      <c r="I52">
        <f t="shared" si="16"/>
        <v>-4.1702720000000078</v>
      </c>
      <c r="J52">
        <f t="shared" si="6"/>
        <v>10.269728000000006</v>
      </c>
      <c r="K52">
        <f t="shared" si="7"/>
        <v>217.66000000000003</v>
      </c>
      <c r="L52">
        <f t="shared" si="10"/>
        <v>191.82972799999999</v>
      </c>
      <c r="M52">
        <f t="shared" si="8"/>
        <v>0.68306940345169398</v>
      </c>
      <c r="N52">
        <f t="shared" si="11"/>
        <v>209.47359648603501</v>
      </c>
      <c r="O52">
        <f t="shared" si="12"/>
        <v>148.67688635529572</v>
      </c>
      <c r="P52">
        <f t="shared" si="13"/>
        <v>60.796710130739278</v>
      </c>
      <c r="Q52">
        <f t="shared" si="14"/>
        <v>209.47359648603501</v>
      </c>
      <c r="R52" s="4"/>
    </row>
    <row r="53" spans="2:18" x14ac:dyDescent="0.3">
      <c r="B53">
        <f t="shared" si="15"/>
        <v>0.39000000000000018</v>
      </c>
      <c r="C53">
        <f t="shared" si="3"/>
        <v>0.97587297858233069</v>
      </c>
      <c r="D53" s="6">
        <f t="shared" si="1"/>
        <v>0.6428571428571429</v>
      </c>
      <c r="E53" s="6">
        <f t="shared" si="9"/>
        <v>0.5</v>
      </c>
      <c r="F53" s="8">
        <f t="shared" si="4"/>
        <v>7.6050000000000076E-2</v>
      </c>
      <c r="G53" s="8">
        <f t="shared" si="5"/>
        <v>-2.3134410000000046E-2</v>
      </c>
      <c r="H53">
        <f t="shared" si="16"/>
        <v>15.210000000000015</v>
      </c>
      <c r="I53">
        <f t="shared" si="16"/>
        <v>-4.626882000000009</v>
      </c>
      <c r="J53">
        <f t="shared" si="6"/>
        <v>10.583118000000006</v>
      </c>
      <c r="K53">
        <f t="shared" si="7"/>
        <v>218.81500000000003</v>
      </c>
      <c r="L53">
        <f t="shared" si="10"/>
        <v>191.37311799999998</v>
      </c>
      <c r="M53">
        <f t="shared" si="8"/>
        <v>0.68011217752381814</v>
      </c>
      <c r="N53">
        <f t="shared" si="11"/>
        <v>210.03667612237166</v>
      </c>
      <c r="O53">
        <f t="shared" si="12"/>
        <v>148.81874612487428</v>
      </c>
      <c r="P53">
        <f t="shared" si="13"/>
        <v>61.217929997497393</v>
      </c>
      <c r="Q53">
        <f t="shared" si="14"/>
        <v>210.03667612237166</v>
      </c>
      <c r="R53" s="4"/>
    </row>
    <row r="54" spans="2:18" x14ac:dyDescent="0.3">
      <c r="B54">
        <f t="shared" si="15"/>
        <v>0.40000000000000019</v>
      </c>
      <c r="C54">
        <f t="shared" si="3"/>
        <v>0.97068776924864353</v>
      </c>
      <c r="D54" s="6">
        <f t="shared" si="1"/>
        <v>0.6428571428571429</v>
      </c>
      <c r="E54" s="6">
        <f t="shared" si="9"/>
        <v>0.5</v>
      </c>
      <c r="F54" s="8">
        <f t="shared" si="4"/>
        <v>8.0000000000000071E-2</v>
      </c>
      <c r="G54" s="8">
        <f t="shared" si="5"/>
        <v>-2.5600000000000046E-2</v>
      </c>
      <c r="H54">
        <f t="shared" si="16"/>
        <v>16.000000000000014</v>
      </c>
      <c r="I54">
        <f t="shared" si="16"/>
        <v>-5.120000000000009</v>
      </c>
      <c r="J54">
        <f t="shared" si="6"/>
        <v>10.880000000000006</v>
      </c>
      <c r="K54">
        <f t="shared" si="7"/>
        <v>220.00000000000003</v>
      </c>
      <c r="L54">
        <f t="shared" si="10"/>
        <v>190.88</v>
      </c>
      <c r="M54">
        <f t="shared" si="8"/>
        <v>0.67712107750072592</v>
      </c>
      <c r="N54">
        <f t="shared" si="11"/>
        <v>210.59776577682118</v>
      </c>
      <c r="O54">
        <f t="shared" si="12"/>
        <v>148.96663705015973</v>
      </c>
      <c r="P54">
        <f t="shared" si="13"/>
        <v>61.631128726661437</v>
      </c>
      <c r="Q54">
        <f t="shared" si="14"/>
        <v>210.59776577682118</v>
      </c>
      <c r="R54" s="4"/>
    </row>
    <row r="55" spans="2:18" x14ac:dyDescent="0.3">
      <c r="B55">
        <f t="shared" si="15"/>
        <v>0.4100000000000002</v>
      </c>
      <c r="C55">
        <f t="shared" si="3"/>
        <v>0.96442881072736364</v>
      </c>
      <c r="D55" s="6">
        <f t="shared" si="1"/>
        <v>0.6428571428571429</v>
      </c>
      <c r="E55" s="6">
        <f t="shared" si="9"/>
        <v>0.5</v>
      </c>
      <c r="F55" s="8">
        <f t="shared" si="4"/>
        <v>8.4050000000000083E-2</v>
      </c>
      <c r="G55" s="8">
        <f t="shared" si="5"/>
        <v>-2.8257610000000054E-2</v>
      </c>
      <c r="H55">
        <f t="shared" si="16"/>
        <v>16.810000000000016</v>
      </c>
      <c r="I55">
        <f t="shared" si="16"/>
        <v>-5.6515220000000106</v>
      </c>
      <c r="J55">
        <f t="shared" si="6"/>
        <v>11.158478000000006</v>
      </c>
      <c r="K55">
        <f t="shared" si="7"/>
        <v>221.21500000000003</v>
      </c>
      <c r="L55">
        <f t="shared" si="10"/>
        <v>190.348478</v>
      </c>
      <c r="M55">
        <f t="shared" si="8"/>
        <v>0.67406233782361635</v>
      </c>
      <c r="N55">
        <f t="shared" si="11"/>
        <v>211.1544379798041</v>
      </c>
      <c r="O55">
        <f t="shared" si="12"/>
        <v>149.11270006165131</v>
      </c>
      <c r="P55">
        <f t="shared" si="13"/>
        <v>62.041737918152798</v>
      </c>
      <c r="Q55">
        <f t="shared" si="14"/>
        <v>211.1544379798041</v>
      </c>
      <c r="R55" s="7"/>
    </row>
    <row r="56" spans="2:18" x14ac:dyDescent="0.3">
      <c r="B56">
        <f t="shared" si="15"/>
        <v>0.42000000000000021</v>
      </c>
      <c r="C56">
        <f t="shared" si="3"/>
        <v>0.95689274505891364</v>
      </c>
      <c r="D56" s="6">
        <f t="shared" si="1"/>
        <v>0.6428571428571429</v>
      </c>
      <c r="E56" s="6">
        <f t="shared" si="9"/>
        <v>0.5</v>
      </c>
      <c r="F56" s="8">
        <f t="shared" si="4"/>
        <v>8.8200000000000084E-2</v>
      </c>
      <c r="G56" s="8">
        <f t="shared" si="5"/>
        <v>-3.1116960000000058E-2</v>
      </c>
      <c r="H56">
        <f t="shared" si="16"/>
        <v>17.640000000000018</v>
      </c>
      <c r="I56">
        <f t="shared" si="16"/>
        <v>-6.223392000000012</v>
      </c>
      <c r="J56">
        <f t="shared" si="6"/>
        <v>11.416608000000007</v>
      </c>
      <c r="K56">
        <f t="shared" si="7"/>
        <v>222.46000000000004</v>
      </c>
      <c r="L56">
        <f t="shared" si="10"/>
        <v>189.77660799999998</v>
      </c>
      <c r="M56">
        <f t="shared" si="8"/>
        <v>0.67089840472904227</v>
      </c>
      <c r="N56">
        <f t="shared" si="11"/>
        <v>211.70384355393395</v>
      </c>
      <c r="O56">
        <f t="shared" si="12"/>
        <v>149.24805911602277</v>
      </c>
      <c r="P56">
        <f t="shared" si="13"/>
        <v>62.455784437911191</v>
      </c>
      <c r="Q56">
        <f t="shared" si="14"/>
        <v>211.70384355393395</v>
      </c>
      <c r="R56" s="7"/>
    </row>
    <row r="57" spans="2:18" x14ac:dyDescent="0.3">
      <c r="B57">
        <f t="shared" si="15"/>
        <v>0.43000000000000022</v>
      </c>
      <c r="C57">
        <f t="shared" si="3"/>
        <v>0.94784643692158199</v>
      </c>
      <c r="D57" s="6">
        <f t="shared" si="1"/>
        <v>0.6428571428571429</v>
      </c>
      <c r="E57" s="6">
        <f t="shared" si="9"/>
        <v>0.5</v>
      </c>
      <c r="F57" s="8">
        <f t="shared" si="4"/>
        <v>9.2450000000000088E-2</v>
      </c>
      <c r="G57" s="8">
        <f t="shared" si="5"/>
        <v>-3.4188010000000067E-2</v>
      </c>
      <c r="H57">
        <f t="shared" si="16"/>
        <v>18.490000000000016</v>
      </c>
      <c r="I57">
        <f t="shared" si="16"/>
        <v>-6.8376020000000137</v>
      </c>
      <c r="J57">
        <f t="shared" si="6"/>
        <v>11.652398000000002</v>
      </c>
      <c r="K57">
        <f t="shared" si="7"/>
        <v>223.73500000000001</v>
      </c>
      <c r="L57">
        <f t="shared" si="10"/>
        <v>189.162398</v>
      </c>
      <c r="M57">
        <f t="shared" si="8"/>
        <v>0.66758774002795529</v>
      </c>
      <c r="N57">
        <f t="shared" si="11"/>
        <v>212.24264323606599</v>
      </c>
      <c r="O57">
        <f t="shared" si="12"/>
        <v>149.36274301515459</v>
      </c>
      <c r="P57">
        <f t="shared" si="13"/>
        <v>62.879900220911388</v>
      </c>
      <c r="Q57">
        <f t="shared" si="14"/>
        <v>212.24264323606599</v>
      </c>
      <c r="R57" s="7"/>
    </row>
    <row r="58" spans="2:18" x14ac:dyDescent="0.3">
      <c r="B58">
        <f t="shared" si="15"/>
        <v>0.44000000000000022</v>
      </c>
      <c r="C58">
        <f t="shared" si="3"/>
        <v>0.93702664394300317</v>
      </c>
      <c r="D58" s="6">
        <f t="shared" si="1"/>
        <v>0.6428571428571429</v>
      </c>
      <c r="E58" s="6">
        <f t="shared" si="9"/>
        <v>0.5</v>
      </c>
      <c r="F58" s="8">
        <f t="shared" si="4"/>
        <v>9.6800000000000094E-2</v>
      </c>
      <c r="G58" s="8">
        <f t="shared" si="5"/>
        <v>-3.748096000000007E-2</v>
      </c>
      <c r="H58">
        <f t="shared" si="16"/>
        <v>19.360000000000017</v>
      </c>
      <c r="I58">
        <f t="shared" si="16"/>
        <v>-7.496192000000014</v>
      </c>
      <c r="J58">
        <f t="shared" si="6"/>
        <v>11.863808000000002</v>
      </c>
      <c r="K58">
        <f t="shared" si="7"/>
        <v>225.04000000000002</v>
      </c>
      <c r="L58">
        <f t="shared" si="10"/>
        <v>188.50380799999999</v>
      </c>
      <c r="M58">
        <f t="shared" si="8"/>
        <v>0.66408485517866178</v>
      </c>
      <c r="N58">
        <f t="shared" si="11"/>
        <v>212.76693977309978</v>
      </c>
      <c r="O58">
        <f t="shared" si="12"/>
        <v>149.44565580940605</v>
      </c>
      <c r="P58">
        <f t="shared" si="13"/>
        <v>63.32128396369373</v>
      </c>
      <c r="Q58">
        <f t="shared" si="14"/>
        <v>212.76693977309978</v>
      </c>
      <c r="R58" s="4"/>
    </row>
    <row r="59" spans="2:18" x14ac:dyDescent="0.3">
      <c r="B59">
        <f t="shared" si="15"/>
        <v>0.45000000000000023</v>
      </c>
      <c r="C59">
        <f t="shared" si="3"/>
        <v>0.92414181997875611</v>
      </c>
      <c r="D59" s="6">
        <f t="shared" si="1"/>
        <v>0.6428571428571429</v>
      </c>
      <c r="E59" s="6">
        <f t="shared" si="9"/>
        <v>0.5</v>
      </c>
      <c r="F59" s="8">
        <f t="shared" si="4"/>
        <v>0.1012500000000001</v>
      </c>
      <c r="G59" s="8">
        <f t="shared" si="5"/>
        <v>-4.1006250000000084E-2</v>
      </c>
      <c r="H59">
        <f t="shared" si="16"/>
        <v>20.250000000000021</v>
      </c>
      <c r="I59">
        <f t="shared" si="16"/>
        <v>-8.2012500000000177</v>
      </c>
      <c r="J59">
        <f t="shared" si="6"/>
        <v>12.048750000000004</v>
      </c>
      <c r="K59">
        <f t="shared" si="7"/>
        <v>226.37500000000003</v>
      </c>
      <c r="L59">
        <f t="shared" si="10"/>
        <v>187.79874999999998</v>
      </c>
      <c r="M59">
        <f t="shared" si="8"/>
        <v>0.66034069727052669</v>
      </c>
      <c r="N59">
        <f t="shared" si="11"/>
        <v>213.27221782308217</v>
      </c>
      <c r="O59">
        <f t="shared" si="12"/>
        <v>149.48462534461549</v>
      </c>
      <c r="P59">
        <f t="shared" si="13"/>
        <v>63.787592478466671</v>
      </c>
      <c r="Q59">
        <f t="shared" si="14"/>
        <v>213.27221782308217</v>
      </c>
      <c r="R59" s="7"/>
    </row>
    <row r="60" spans="2:18" x14ac:dyDescent="0.3">
      <c r="B60">
        <f t="shared" si="15"/>
        <v>0.46000000000000024</v>
      </c>
      <c r="C60">
        <f t="shared" si="3"/>
        <v>0.90887703898514338</v>
      </c>
      <c r="D60" s="6">
        <f t="shared" si="1"/>
        <v>0.6428571428571429</v>
      </c>
      <c r="E60" s="6">
        <f t="shared" si="9"/>
        <v>0.5</v>
      </c>
      <c r="F60" s="8">
        <f t="shared" si="4"/>
        <v>0.10580000000000012</v>
      </c>
      <c r="G60" s="8">
        <f t="shared" si="5"/>
        <v>-4.4774560000000095E-2</v>
      </c>
      <c r="H60">
        <f t="shared" si="16"/>
        <v>21.160000000000025</v>
      </c>
      <c r="I60">
        <f t="shared" si="16"/>
        <v>-8.9549120000000197</v>
      </c>
      <c r="J60">
        <f t="shared" si="6"/>
        <v>12.205088000000005</v>
      </c>
      <c r="K60">
        <f t="shared" si="7"/>
        <v>227.74000000000004</v>
      </c>
      <c r="L60">
        <f t="shared" si="10"/>
        <v>187.04508799999999</v>
      </c>
      <c r="M60">
        <f t="shared" si="8"/>
        <v>0.65630353642979911</v>
      </c>
      <c r="N60">
        <f t="shared" si="11"/>
        <v>213.75330266029948</v>
      </c>
      <c r="O60">
        <f t="shared" si="12"/>
        <v>149.46656738652248</v>
      </c>
      <c r="P60">
        <f t="shared" si="13"/>
        <v>64.286735273777012</v>
      </c>
      <c r="Q60">
        <f t="shared" si="14"/>
        <v>213.75330266029948</v>
      </c>
      <c r="R60" s="7"/>
    </row>
    <row r="61" spans="2:18" x14ac:dyDescent="0.3">
      <c r="B61">
        <f t="shared" si="15"/>
        <v>0.47000000000000025</v>
      </c>
      <c r="C61">
        <f t="shared" si="3"/>
        <v>0.89090317880438652</v>
      </c>
      <c r="D61" s="6">
        <f t="shared" si="1"/>
        <v>0.6428571428571429</v>
      </c>
      <c r="E61" s="6">
        <f t="shared" si="9"/>
        <v>0.5</v>
      </c>
      <c r="F61" s="8">
        <f t="shared" si="4"/>
        <v>0.11045000000000012</v>
      </c>
      <c r="G61" s="8">
        <f t="shared" si="5"/>
        <v>-4.8796810000000107E-2</v>
      </c>
      <c r="H61">
        <f t="shared" si="16"/>
        <v>22.090000000000025</v>
      </c>
      <c r="I61">
        <f t="shared" si="16"/>
        <v>-9.7593620000000207</v>
      </c>
      <c r="J61">
        <f t="shared" si="6"/>
        <v>12.330638000000004</v>
      </c>
      <c r="K61">
        <f t="shared" si="7"/>
        <v>229.13500000000005</v>
      </c>
      <c r="L61">
        <f t="shared" si="10"/>
        <v>186.24063799999999</v>
      </c>
      <c r="M61">
        <f t="shared" si="8"/>
        <v>0.65192052292346436</v>
      </c>
      <c r="N61">
        <f t="shared" si="11"/>
        <v>214.20435290550842</v>
      </c>
      <c r="O61">
        <f t="shared" si="12"/>
        <v>149.37780902006804</v>
      </c>
      <c r="P61">
        <f t="shared" si="13"/>
        <v>64.826543885440373</v>
      </c>
      <c r="Q61">
        <f t="shared" si="14"/>
        <v>214.20435290550842</v>
      </c>
      <c r="R61" s="7"/>
    </row>
    <row r="62" spans="2:18" x14ac:dyDescent="0.3">
      <c r="B62">
        <f t="shared" si="15"/>
        <v>0.48000000000000026</v>
      </c>
      <c r="C62">
        <f t="shared" si="3"/>
        <v>0.86989152563700145</v>
      </c>
      <c r="D62" s="6">
        <f t="shared" si="1"/>
        <v>0.6428571428571429</v>
      </c>
      <c r="E62" s="6">
        <f t="shared" si="9"/>
        <v>0.5</v>
      </c>
      <c r="F62" s="8">
        <f t="shared" si="4"/>
        <v>0.11520000000000012</v>
      </c>
      <c r="G62" s="8">
        <f t="shared" si="5"/>
        <v>-5.3084160000000109E-2</v>
      </c>
      <c r="H62">
        <f t="shared" si="16"/>
        <v>23.040000000000024</v>
      </c>
      <c r="I62">
        <f t="shared" si="16"/>
        <v>-10.616832000000022</v>
      </c>
      <c r="J62">
        <f t="shared" si="6"/>
        <v>12.423168000000002</v>
      </c>
      <c r="K62">
        <f t="shared" si="7"/>
        <v>230.56000000000003</v>
      </c>
      <c r="L62">
        <f t="shared" si="10"/>
        <v>185.38316799999998</v>
      </c>
      <c r="M62">
        <f t="shared" si="8"/>
        <v>0.64714007900839599</v>
      </c>
      <c r="N62">
        <f t="shared" si="11"/>
        <v>214.61890662982904</v>
      </c>
      <c r="O62">
        <f t="shared" si="12"/>
        <v>149.2046166161758</v>
      </c>
      <c r="P62">
        <f t="shared" si="13"/>
        <v>65.414290013653243</v>
      </c>
      <c r="Q62">
        <f t="shared" si="14"/>
        <v>214.61890662982904</v>
      </c>
      <c r="R62" s="7"/>
    </row>
    <row r="63" spans="2:18" x14ac:dyDescent="0.3">
      <c r="B63">
        <f t="shared" si="15"/>
        <v>0.49000000000000027</v>
      </c>
      <c r="C63">
        <f t="shared" si="3"/>
        <v>0.84553473491646447</v>
      </c>
      <c r="D63" s="6">
        <f t="shared" si="1"/>
        <v>0.6428571428571429</v>
      </c>
      <c r="E63" s="6">
        <f t="shared" si="9"/>
        <v>0.5</v>
      </c>
      <c r="F63" s="8">
        <f t="shared" si="4"/>
        <v>0.12005000000000013</v>
      </c>
      <c r="G63" s="8">
        <f t="shared" si="5"/>
        <v>-5.7648010000000124E-2</v>
      </c>
      <c r="H63">
        <f t="shared" si="16"/>
        <v>24.010000000000026</v>
      </c>
      <c r="I63">
        <f t="shared" si="16"/>
        <v>-11.529602000000025</v>
      </c>
      <c r="J63">
        <f t="shared" si="6"/>
        <v>12.480398000000001</v>
      </c>
      <c r="K63">
        <f t="shared" si="7"/>
        <v>232.01500000000004</v>
      </c>
      <c r="L63">
        <f t="shared" si="10"/>
        <v>184.47039799999999</v>
      </c>
      <c r="M63">
        <f t="shared" si="8"/>
        <v>0.64191524765311359</v>
      </c>
      <c r="N63">
        <f t="shared" si="11"/>
        <v>214.99000296739874</v>
      </c>
      <c r="O63">
        <f t="shared" si="12"/>
        <v>148.93396618423716</v>
      </c>
      <c r="P63">
        <f t="shared" si="13"/>
        <v>66.056036783161574</v>
      </c>
      <c r="Q63">
        <f t="shared" si="14"/>
        <v>214.99000296739874</v>
      </c>
      <c r="R63" s="7"/>
    </row>
    <row r="64" spans="2:18" x14ac:dyDescent="0.3">
      <c r="B64">
        <f t="shared" si="15"/>
        <v>0.50000000000000022</v>
      </c>
      <c r="C64">
        <f t="shared" si="3"/>
        <v>0.81757447619364287</v>
      </c>
      <c r="D64" s="6">
        <f t="shared" si="1"/>
        <v>0.6428571428571429</v>
      </c>
      <c r="E64" s="6">
        <f t="shared" si="9"/>
        <v>0.5</v>
      </c>
      <c r="F64" s="8">
        <f t="shared" si="4"/>
        <v>0.12500000000000011</v>
      </c>
      <c r="G64" s="8">
        <f t="shared" si="5"/>
        <v>-6.2500000000000111E-2</v>
      </c>
      <c r="H64">
        <f t="shared" si="16"/>
        <v>25.000000000000021</v>
      </c>
      <c r="I64">
        <f t="shared" si="16"/>
        <v>-12.500000000000021</v>
      </c>
      <c r="J64">
        <f t="shared" si="6"/>
        <v>12.5</v>
      </c>
      <c r="K64">
        <f t="shared" si="7"/>
        <v>233.50000000000003</v>
      </c>
      <c r="L64">
        <f t="shared" si="10"/>
        <v>183.49999999999997</v>
      </c>
      <c r="M64">
        <f t="shared" si="8"/>
        <v>0.63620801765518387</v>
      </c>
      <c r="N64">
        <f t="shared" si="11"/>
        <v>215.31040088275918</v>
      </c>
      <c r="O64">
        <f t="shared" si="12"/>
        <v>148.55457212248544</v>
      </c>
      <c r="P64">
        <f t="shared" si="13"/>
        <v>66.755828760273744</v>
      </c>
      <c r="Q64">
        <f t="shared" si="14"/>
        <v>215.31040088275918</v>
      </c>
      <c r="R64" s="7"/>
    </row>
    <row r="65" spans="2:18" x14ac:dyDescent="0.3">
      <c r="B65">
        <f t="shared" si="15"/>
        <v>0.51000000000000023</v>
      </c>
      <c r="C65">
        <f t="shared" si="3"/>
        <v>0.78583498304255772</v>
      </c>
      <c r="D65" s="6">
        <f t="shared" si="1"/>
        <v>0.6428571428571429</v>
      </c>
      <c r="E65" s="6">
        <f t="shared" si="9"/>
        <v>0.5</v>
      </c>
      <c r="F65" s="8">
        <f t="shared" si="4"/>
        <v>0.13005000000000011</v>
      </c>
      <c r="G65" s="8">
        <f t="shared" si="5"/>
        <v>-6.765201000000011E-2</v>
      </c>
      <c r="H65">
        <f t="shared" si="16"/>
        <v>26.010000000000023</v>
      </c>
      <c r="I65">
        <f t="shared" si="16"/>
        <v>-13.530402000000022</v>
      </c>
      <c r="J65">
        <f t="shared" si="6"/>
        <v>12.479598000000001</v>
      </c>
      <c r="K65">
        <f t="shared" si="7"/>
        <v>235.01500000000004</v>
      </c>
      <c r="L65">
        <f t="shared" si="10"/>
        <v>182.46959799999999</v>
      </c>
      <c r="M65">
        <f t="shared" si="8"/>
        <v>0.62999446685103344</v>
      </c>
      <c r="N65">
        <f t="shared" si="11"/>
        <v>215.57291051846326</v>
      </c>
      <c r="O65">
        <f t="shared" si="12"/>
        <v>148.05814962699566</v>
      </c>
      <c r="P65">
        <f t="shared" si="13"/>
        <v>67.514760891467603</v>
      </c>
      <c r="Q65">
        <f t="shared" si="14"/>
        <v>215.57291051846326</v>
      </c>
      <c r="R65" s="7"/>
    </row>
    <row r="66" spans="2:18" x14ac:dyDescent="0.3">
      <c r="B66">
        <f t="shared" si="15"/>
        <v>0.52000000000000024</v>
      </c>
      <c r="C66">
        <f t="shared" si="3"/>
        <v>0.75026010559511658</v>
      </c>
      <c r="D66" s="6">
        <f t="shared" si="1"/>
        <v>0.6428571428571429</v>
      </c>
      <c r="E66" s="6">
        <f t="shared" si="9"/>
        <v>0.5</v>
      </c>
      <c r="F66" s="8">
        <f t="shared" si="4"/>
        <v>0.13520000000000013</v>
      </c>
      <c r="G66" s="8">
        <f t="shared" si="5"/>
        <v>-7.3116160000000138E-2</v>
      </c>
      <c r="H66">
        <f t="shared" si="16"/>
        <v>27.040000000000024</v>
      </c>
      <c r="I66">
        <f t="shared" si="16"/>
        <v>-14.623232000000028</v>
      </c>
      <c r="J66">
        <f t="shared" si="6"/>
        <v>12.416767999999996</v>
      </c>
      <c r="K66">
        <f t="shared" si="7"/>
        <v>236.56000000000003</v>
      </c>
      <c r="L66">
        <f t="shared" si="10"/>
        <v>181.37676799999997</v>
      </c>
      <c r="M66">
        <f t="shared" si="8"/>
        <v>0.62327031282805523</v>
      </c>
      <c r="N66">
        <f t="shared" si="11"/>
        <v>215.77083827150318</v>
      </c>
      <c r="O66">
        <f t="shared" si="12"/>
        <v>147.44082520260477</v>
      </c>
      <c r="P66">
        <f t="shared" si="13"/>
        <v>68.330013068898396</v>
      </c>
      <c r="Q66">
        <f t="shared" si="14"/>
        <v>215.77083827150318</v>
      </c>
      <c r="R66" s="7"/>
    </row>
    <row r="67" spans="2:18" x14ac:dyDescent="0.3">
      <c r="B67">
        <f t="shared" si="15"/>
        <v>0.53000000000000025</v>
      </c>
      <c r="C67">
        <f t="shared" si="3"/>
        <v>0.71094950262500278</v>
      </c>
      <c r="D67" s="6">
        <f t="shared" si="1"/>
        <v>0.6428571428571429</v>
      </c>
      <c r="E67" s="6">
        <f t="shared" si="9"/>
        <v>0.5</v>
      </c>
      <c r="F67" s="8">
        <f t="shared" si="4"/>
        <v>0.14045000000000013</v>
      </c>
      <c r="G67" s="8">
        <f t="shared" si="5"/>
        <v>-7.8904810000000145E-2</v>
      </c>
      <c r="H67">
        <f t="shared" si="16"/>
        <v>28.090000000000025</v>
      </c>
      <c r="I67">
        <f t="shared" si="16"/>
        <v>-15.780962000000029</v>
      </c>
      <c r="J67">
        <f t="shared" si="6"/>
        <v>12.309037999999996</v>
      </c>
      <c r="K67">
        <f t="shared" si="7"/>
        <v>238.13500000000005</v>
      </c>
      <c r="L67">
        <f t="shared" si="10"/>
        <v>180.21903799999998</v>
      </c>
      <c r="M67">
        <f t="shared" si="8"/>
        <v>0.61605616586927237</v>
      </c>
      <c r="N67">
        <f t="shared" si="11"/>
        <v>215.89852349235051</v>
      </c>
      <c r="O67">
        <f t="shared" si="12"/>
        <v>146.70453505927921</v>
      </c>
      <c r="P67">
        <f t="shared" si="13"/>
        <v>69.193988433071297</v>
      </c>
      <c r="Q67">
        <f t="shared" si="14"/>
        <v>215.89852349235051</v>
      </c>
      <c r="R67" s="7"/>
    </row>
    <row r="68" spans="2:18" x14ac:dyDescent="0.3">
      <c r="B68" s="13">
        <f t="shared" si="15"/>
        <v>0.54000000000000026</v>
      </c>
      <c r="C68" s="13">
        <f t="shared" si="3"/>
        <v>0.66818777216816483</v>
      </c>
      <c r="D68" s="14">
        <f t="shared" si="1"/>
        <v>0.6428571428571429</v>
      </c>
      <c r="E68" s="14">
        <f t="shared" si="9"/>
        <v>0.5</v>
      </c>
      <c r="F68" s="15">
        <f t="shared" si="4"/>
        <v>0.14580000000000015</v>
      </c>
      <c r="G68" s="15">
        <f t="shared" si="5"/>
        <v>-8.5030560000000172E-2</v>
      </c>
      <c r="H68" s="13">
        <f t="shared" si="16"/>
        <v>29.160000000000032</v>
      </c>
      <c r="I68" s="13">
        <f t="shared" si="16"/>
        <v>-17.006112000000034</v>
      </c>
      <c r="J68" s="13">
        <f t="shared" si="6"/>
        <v>12.153887999999998</v>
      </c>
      <c r="K68" s="13">
        <f t="shared" si="7"/>
        <v>239.74000000000007</v>
      </c>
      <c r="L68" s="13">
        <f t="shared" si="10"/>
        <v>178.99388799999997</v>
      </c>
      <c r="M68" s="13">
        <f t="shared" si="8"/>
        <v>0.60840151637886519</v>
      </c>
      <c r="N68" s="13">
        <f t="shared" si="11"/>
        <v>215.95191465492042</v>
      </c>
      <c r="O68" s="13">
        <f t="shared" si="12"/>
        <v>145.85817953666918</v>
      </c>
      <c r="P68" s="13">
        <f t="shared" si="13"/>
        <v>70.093735118251232</v>
      </c>
      <c r="Q68" s="13">
        <f t="shared" si="14"/>
        <v>215.95191465492042</v>
      </c>
      <c r="R68" s="7"/>
    </row>
    <row r="69" spans="2:18" x14ac:dyDescent="0.3">
      <c r="B69">
        <f t="shared" si="15"/>
        <v>0.55000000000000027</v>
      </c>
      <c r="C69">
        <f t="shared" si="3"/>
        <v>0.62245933120185315</v>
      </c>
      <c r="D69" s="6">
        <f t="shared" si="1"/>
        <v>0.6428571428571429</v>
      </c>
      <c r="E69" s="6">
        <f t="shared" si="9"/>
        <v>0.5</v>
      </c>
      <c r="F69" s="8">
        <f t="shared" si="4"/>
        <v>0.15125000000000013</v>
      </c>
      <c r="G69" s="8">
        <f t="shared" si="5"/>
        <v>-9.1506250000000164E-2</v>
      </c>
      <c r="H69">
        <f t="shared" si="16"/>
        <v>30.250000000000028</v>
      </c>
      <c r="I69">
        <f t="shared" si="16"/>
        <v>-18.301250000000032</v>
      </c>
      <c r="J69">
        <f t="shared" si="6"/>
        <v>11.948749999999997</v>
      </c>
      <c r="K69">
        <f t="shared" si="7"/>
        <v>241.37500000000006</v>
      </c>
      <c r="L69">
        <f t="shared" si="10"/>
        <v>177.69874999999996</v>
      </c>
      <c r="M69">
        <f t="shared" si="8"/>
        <v>0.6003863712349844</v>
      </c>
      <c r="N69">
        <f t="shared" si="11"/>
        <v>215.9291026713517</v>
      </c>
      <c r="O69">
        <f t="shared" si="12"/>
        <v>144.9182603568444</v>
      </c>
      <c r="P69">
        <f t="shared" si="13"/>
        <v>71.0108423145073</v>
      </c>
      <c r="Q69">
        <f t="shared" si="14"/>
        <v>215.9291026713517</v>
      </c>
      <c r="R69" s="7"/>
    </row>
    <row r="70" spans="2:18" x14ac:dyDescent="0.3">
      <c r="B70">
        <f t="shared" si="15"/>
        <v>0.56000000000000028</v>
      </c>
      <c r="C70">
        <f t="shared" si="3"/>
        <v>0.57444251681165748</v>
      </c>
      <c r="D70" s="6">
        <f t="shared" si="1"/>
        <v>0.6428571428571429</v>
      </c>
      <c r="E70" s="6">
        <f t="shared" si="9"/>
        <v>0.5</v>
      </c>
      <c r="F70" s="8">
        <f t="shared" si="4"/>
        <v>0.15680000000000016</v>
      </c>
      <c r="G70" s="8">
        <f t="shared" si="5"/>
        <v>-9.8344960000000203E-2</v>
      </c>
      <c r="H70">
        <f t="shared" si="16"/>
        <v>31.360000000000031</v>
      </c>
      <c r="I70">
        <f t="shared" si="16"/>
        <v>-19.668992000000042</v>
      </c>
      <c r="J70">
        <f t="shared" si="6"/>
        <v>11.691007999999989</v>
      </c>
      <c r="K70">
        <f t="shared" si="7"/>
        <v>243.04000000000005</v>
      </c>
      <c r="L70">
        <f t="shared" si="10"/>
        <v>176.33100799999997</v>
      </c>
      <c r="M70">
        <f t="shared" si="8"/>
        <v>0.59211959852964369</v>
      </c>
      <c r="N70">
        <f t="shared" si="11"/>
        <v>215.83070956135725</v>
      </c>
      <c r="O70">
        <f t="shared" si="12"/>
        <v>143.90874722664464</v>
      </c>
      <c r="P70">
        <f t="shared" si="13"/>
        <v>71.921962334712603</v>
      </c>
      <c r="Q70">
        <f t="shared" si="14"/>
        <v>215.83070956135725</v>
      </c>
      <c r="R70" s="7"/>
    </row>
    <row r="71" spans="2:18" x14ac:dyDescent="0.3">
      <c r="B71">
        <f t="shared" si="15"/>
        <v>0.57000000000000028</v>
      </c>
      <c r="C71">
        <f t="shared" si="3"/>
        <v>0.52497918747893846</v>
      </c>
      <c r="D71" s="6">
        <f t="shared" si="1"/>
        <v>0.6428571428571429</v>
      </c>
      <c r="E71" s="6">
        <f t="shared" si="9"/>
        <v>0.5</v>
      </c>
      <c r="F71" s="8">
        <f t="shared" si="4"/>
        <v>0.16245000000000015</v>
      </c>
      <c r="G71" s="8">
        <f t="shared" si="5"/>
        <v>-0.10556001000000019</v>
      </c>
      <c r="H71">
        <f t="shared" si="16"/>
        <v>32.49000000000003</v>
      </c>
      <c r="I71">
        <f t="shared" si="16"/>
        <v>-21.112002000000039</v>
      </c>
      <c r="J71">
        <f t="shared" si="6"/>
        <v>11.377997999999991</v>
      </c>
      <c r="K71">
        <f t="shared" si="7"/>
        <v>244.73500000000004</v>
      </c>
      <c r="L71">
        <f t="shared" si="10"/>
        <v>174.88799799999995</v>
      </c>
      <c r="M71">
        <f t="shared" si="8"/>
        <v>0.58373351220604408</v>
      </c>
      <c r="N71">
        <f t="shared" si="11"/>
        <v>215.66003379452258</v>
      </c>
      <c r="O71">
        <f t="shared" si="12"/>
        <v>142.86002110974621</v>
      </c>
      <c r="P71">
        <f t="shared" si="13"/>
        <v>72.800012684776362</v>
      </c>
      <c r="Q71">
        <f t="shared" si="14"/>
        <v>215.66003379452258</v>
      </c>
      <c r="R71" s="4"/>
    </row>
    <row r="72" spans="2:18" x14ac:dyDescent="0.3">
      <c r="B72">
        <f t="shared" si="15"/>
        <v>0.58000000000000029</v>
      </c>
      <c r="C72">
        <f t="shared" si="3"/>
        <v>0.47502081252105832</v>
      </c>
      <c r="D72" s="6">
        <f t="shared" si="1"/>
        <v>0.6428571428571429</v>
      </c>
      <c r="E72" s="6">
        <f t="shared" si="9"/>
        <v>0.5</v>
      </c>
      <c r="F72" s="8">
        <f t="shared" si="4"/>
        <v>0.16820000000000018</v>
      </c>
      <c r="G72" s="8">
        <f t="shared" si="5"/>
        <v>-0.11316496000000024</v>
      </c>
      <c r="H72">
        <f t="shared" si="16"/>
        <v>33.640000000000036</v>
      </c>
      <c r="I72">
        <f t="shared" si="16"/>
        <v>-22.632992000000048</v>
      </c>
      <c r="J72">
        <f t="shared" si="6"/>
        <v>11.007007999999988</v>
      </c>
      <c r="K72">
        <f t="shared" si="7"/>
        <v>246.46000000000004</v>
      </c>
      <c r="L72">
        <f t="shared" si="10"/>
        <v>173.36700799999994</v>
      </c>
      <c r="M72">
        <f t="shared" si="8"/>
        <v>0.57537497436402341</v>
      </c>
      <c r="N72">
        <f t="shared" si="11"/>
        <v>215.42288639818975</v>
      </c>
      <c r="O72">
        <f t="shared" si="12"/>
        <v>141.80691618175723</v>
      </c>
      <c r="P72">
        <f t="shared" si="13"/>
        <v>73.61597021643253</v>
      </c>
      <c r="Q72">
        <f t="shared" si="14"/>
        <v>215.42288639818975</v>
      </c>
      <c r="R72" s="4"/>
    </row>
    <row r="73" spans="2:18" x14ac:dyDescent="0.3">
      <c r="B73">
        <f t="shared" si="15"/>
        <v>0.5900000000000003</v>
      </c>
      <c r="C73">
        <f t="shared" si="3"/>
        <v>0.42555748318833941</v>
      </c>
      <c r="D73" s="6">
        <f t="shared" si="1"/>
        <v>0.6428571428571429</v>
      </c>
      <c r="E73" s="6">
        <f t="shared" si="9"/>
        <v>0.5</v>
      </c>
      <c r="F73" s="8">
        <f t="shared" si="4"/>
        <v>0.17405000000000018</v>
      </c>
      <c r="G73" s="8">
        <f t="shared" si="5"/>
        <v>-0.12117361000000025</v>
      </c>
      <c r="H73">
        <f t="shared" si="16"/>
        <v>34.810000000000038</v>
      </c>
      <c r="I73">
        <f t="shared" si="16"/>
        <v>-24.234722000000051</v>
      </c>
      <c r="J73">
        <f t="shared" si="6"/>
        <v>10.575277999999987</v>
      </c>
      <c r="K73">
        <f t="shared" si="7"/>
        <v>248.21500000000006</v>
      </c>
      <c r="L73">
        <f t="shared" si="10"/>
        <v>171.76527799999994</v>
      </c>
      <c r="M73">
        <f t="shared" si="8"/>
        <v>0.56719412083243759</v>
      </c>
      <c r="N73">
        <f t="shared" si="11"/>
        <v>215.12711085767427</v>
      </c>
      <c r="O73">
        <f t="shared" si="12"/>
        <v>140.78608870242354</v>
      </c>
      <c r="P73">
        <f t="shared" si="13"/>
        <v>74.341022155250741</v>
      </c>
      <c r="Q73">
        <f t="shared" si="14"/>
        <v>215.12711085767427</v>
      </c>
      <c r="R73" s="4"/>
    </row>
    <row r="74" spans="2:18" x14ac:dyDescent="0.3">
      <c r="B74">
        <f t="shared" si="15"/>
        <v>0.60000000000000031</v>
      </c>
      <c r="C74">
        <f t="shared" si="3"/>
        <v>0.37754066879814385</v>
      </c>
      <c r="D74" s="6">
        <f t="shared" si="1"/>
        <v>0.6428571428571429</v>
      </c>
      <c r="E74" s="6">
        <f t="shared" si="9"/>
        <v>0.5</v>
      </c>
      <c r="F74" s="8">
        <f t="shared" si="4"/>
        <v>0.18000000000000019</v>
      </c>
      <c r="G74" s="8">
        <f t="shared" si="5"/>
        <v>-0.12960000000000027</v>
      </c>
      <c r="H74">
        <f t="shared" si="16"/>
        <v>36.000000000000036</v>
      </c>
      <c r="I74">
        <f t="shared" si="16"/>
        <v>-25.920000000000055</v>
      </c>
      <c r="J74">
        <f t="shared" si="6"/>
        <v>10.079999999999981</v>
      </c>
      <c r="K74">
        <f t="shared" si="7"/>
        <v>250.00000000000006</v>
      </c>
      <c r="L74">
        <f t="shared" si="10"/>
        <v>170.07999999999996</v>
      </c>
      <c r="M74">
        <f t="shared" si="8"/>
        <v>0.55933244663642889</v>
      </c>
      <c r="N74">
        <f t="shared" si="11"/>
        <v>214.78184913518342</v>
      </c>
      <c r="O74">
        <f t="shared" si="12"/>
        <v>139.83311165910726</v>
      </c>
      <c r="P74">
        <f t="shared" si="13"/>
        <v>74.948737476076161</v>
      </c>
      <c r="Q74">
        <f t="shared" si="14"/>
        <v>214.78184913518342</v>
      </c>
      <c r="R74" s="4"/>
    </row>
    <row r="75" spans="2:18" x14ac:dyDescent="0.3">
      <c r="B75">
        <f t="shared" si="15"/>
        <v>0.61000000000000032</v>
      </c>
      <c r="C75">
        <f t="shared" si="3"/>
        <v>0.33181222783183228</v>
      </c>
      <c r="D75" s="6">
        <f t="shared" si="1"/>
        <v>0.6428571428571429</v>
      </c>
      <c r="E75" s="6">
        <f t="shared" si="9"/>
        <v>0.5</v>
      </c>
      <c r="F75" s="8">
        <f t="shared" si="4"/>
        <v>0.18605000000000019</v>
      </c>
      <c r="G75" s="8">
        <f t="shared" si="5"/>
        <v>-0.13845841000000028</v>
      </c>
      <c r="H75">
        <f t="shared" si="16"/>
        <v>37.210000000000036</v>
      </c>
      <c r="I75">
        <f t="shared" si="16"/>
        <v>-27.691682000000057</v>
      </c>
      <c r="J75">
        <f t="shared" si="6"/>
        <v>9.5183179999999794</v>
      </c>
      <c r="K75">
        <f t="shared" si="7"/>
        <v>251.81500000000005</v>
      </c>
      <c r="L75">
        <f t="shared" si="10"/>
        <v>168.30831799999993</v>
      </c>
      <c r="M75">
        <f t="shared" si="8"/>
        <v>0.55191218014169008</v>
      </c>
      <c r="N75">
        <f t="shared" si="11"/>
        <v>214.39667291901881</v>
      </c>
      <c r="O75">
        <f t="shared" si="12"/>
        <v>138.9797656423797</v>
      </c>
      <c r="P75">
        <f t="shared" si="13"/>
        <v>75.416907276639108</v>
      </c>
      <c r="Q75">
        <f t="shared" si="14"/>
        <v>214.39667291901881</v>
      </c>
      <c r="R75" s="4"/>
    </row>
    <row r="76" spans="2:18" x14ac:dyDescent="0.3">
      <c r="B76">
        <f t="shared" si="15"/>
        <v>0.62000000000000033</v>
      </c>
      <c r="C76">
        <f t="shared" si="3"/>
        <v>0.28905049737499455</v>
      </c>
      <c r="D76" s="6">
        <f t="shared" si="1"/>
        <v>0.6428571428571429</v>
      </c>
      <c r="E76" s="6">
        <f t="shared" si="9"/>
        <v>0.5</v>
      </c>
      <c r="F76" s="8">
        <f t="shared" si="4"/>
        <v>0.1922000000000002</v>
      </c>
      <c r="G76" s="8">
        <f t="shared" si="5"/>
        <v>-0.14776336000000032</v>
      </c>
      <c r="H76">
        <f t="shared" si="16"/>
        <v>38.44000000000004</v>
      </c>
      <c r="I76">
        <f t="shared" si="16"/>
        <v>-29.552672000000062</v>
      </c>
      <c r="J76">
        <f t="shared" si="6"/>
        <v>8.8873279999999788</v>
      </c>
      <c r="K76">
        <f t="shared" si="7"/>
        <v>253.66000000000005</v>
      </c>
      <c r="L76">
        <f t="shared" si="10"/>
        <v>166.44732799999994</v>
      </c>
      <c r="M76">
        <f t="shared" si="8"/>
        <v>0.54502854672724466</v>
      </c>
      <c r="N76">
        <f t="shared" si="11"/>
        <v>213.98072387635986</v>
      </c>
      <c r="O76">
        <f t="shared" si="12"/>
        <v>138.25194116283291</v>
      </c>
      <c r="P76">
        <f t="shared" si="13"/>
        <v>75.728782713526954</v>
      </c>
      <c r="Q76">
        <f t="shared" si="14"/>
        <v>213.98072387635986</v>
      </c>
      <c r="R76" s="4"/>
    </row>
    <row r="77" spans="2:18" x14ac:dyDescent="0.3">
      <c r="B77">
        <f t="shared" si="15"/>
        <v>0.63000000000000034</v>
      </c>
      <c r="C77">
        <f t="shared" si="3"/>
        <v>0.24973989440488098</v>
      </c>
      <c r="D77" s="6">
        <f t="shared" si="1"/>
        <v>0.6428571428571429</v>
      </c>
      <c r="E77" s="6">
        <f t="shared" si="9"/>
        <v>0.5</v>
      </c>
      <c r="F77" s="8">
        <f t="shared" si="4"/>
        <v>0.19845000000000021</v>
      </c>
      <c r="G77" s="8">
        <f t="shared" si="5"/>
        <v>-0.15752961000000032</v>
      </c>
      <c r="H77">
        <f t="shared" si="16"/>
        <v>39.69000000000004</v>
      </c>
      <c r="I77">
        <f t="shared" si="16"/>
        <v>-31.505922000000062</v>
      </c>
      <c r="J77">
        <f t="shared" si="6"/>
        <v>8.1840779999999782</v>
      </c>
      <c r="K77">
        <f t="shared" si="7"/>
        <v>255.53500000000005</v>
      </c>
      <c r="L77">
        <f t="shared" si="10"/>
        <v>164.49407799999994</v>
      </c>
      <c r="M77">
        <f t="shared" si="8"/>
        <v>0.53874580014924878</v>
      </c>
      <c r="N77">
        <f t="shared" si="11"/>
        <v>213.54199236921534</v>
      </c>
      <c r="O77">
        <f t="shared" si="12"/>
        <v>137.66840804113832</v>
      </c>
      <c r="P77">
        <f t="shared" si="13"/>
        <v>75.87358432807703</v>
      </c>
      <c r="Q77">
        <f t="shared" si="14"/>
        <v>213.54199236921534</v>
      </c>
      <c r="R77" s="4"/>
    </row>
    <row r="78" spans="2:18" x14ac:dyDescent="0.3">
      <c r="B78">
        <f t="shared" si="15"/>
        <v>0.64000000000000035</v>
      </c>
      <c r="C78">
        <f t="shared" si="3"/>
        <v>0.21416501695744006</v>
      </c>
      <c r="D78" s="6">
        <f t="shared" ref="D78:D114" si="17">$D$10/($D$10+$B$10)</f>
        <v>0.6428571428571429</v>
      </c>
      <c r="E78" s="6">
        <f t="shared" si="9"/>
        <v>0.5</v>
      </c>
      <c r="F78" s="8">
        <f t="shared" si="4"/>
        <v>0.20480000000000023</v>
      </c>
      <c r="G78" s="8">
        <f t="shared" si="5"/>
        <v>-0.16777216000000039</v>
      </c>
      <c r="H78">
        <f t="shared" ref="H78:I114" si="18">F78*$F$7</f>
        <v>40.960000000000043</v>
      </c>
      <c r="I78">
        <f t="shared" si="18"/>
        <v>-33.554432000000077</v>
      </c>
      <c r="J78">
        <f t="shared" si="6"/>
        <v>7.4055679999999668</v>
      </c>
      <c r="K78">
        <f t="shared" si="7"/>
        <v>257.44000000000005</v>
      </c>
      <c r="L78">
        <f t="shared" si="10"/>
        <v>162.44556799999992</v>
      </c>
      <c r="M78">
        <f t="shared" si="8"/>
        <v>0.53309704835281302</v>
      </c>
      <c r="N78">
        <f t="shared" si="11"/>
        <v>213.08681930915202</v>
      </c>
      <c r="O78">
        <f t="shared" si="12"/>
        <v>137.24050412794821</v>
      </c>
      <c r="P78">
        <f t="shared" si="13"/>
        <v>75.846315181203792</v>
      </c>
      <c r="Q78">
        <f t="shared" si="14"/>
        <v>213.08681930915202</v>
      </c>
      <c r="R78" s="4"/>
    </row>
    <row r="79" spans="2:18" x14ac:dyDescent="0.3">
      <c r="B79">
        <f t="shared" si="15"/>
        <v>0.65000000000000036</v>
      </c>
      <c r="C79">
        <f t="shared" ref="C79:C114" si="19">1-1/(1+EXP(-20*(B79-(($N$10+$M$10)/2))))</f>
        <v>0.18242552380635524</v>
      </c>
      <c r="D79" s="6">
        <f t="shared" si="17"/>
        <v>0.6428571428571429</v>
      </c>
      <c r="E79" s="6">
        <f t="shared" si="9"/>
        <v>0.5</v>
      </c>
      <c r="F79" s="8">
        <f t="shared" ref="F79:F114" si="20">B79^2*0.5</f>
        <v>0.21125000000000024</v>
      </c>
      <c r="G79" s="8">
        <f t="shared" ref="G79:G114" si="21">-(B79^4)</f>
        <v>-0.17850625000000042</v>
      </c>
      <c r="H79">
        <f t="shared" si="18"/>
        <v>42.25000000000005</v>
      </c>
      <c r="I79">
        <f t="shared" si="18"/>
        <v>-35.701250000000087</v>
      </c>
      <c r="J79">
        <f t="shared" ref="J79:J114" si="22">H79+I79</f>
        <v>6.5487499999999628</v>
      </c>
      <c r="K79">
        <f t="shared" ref="K79:K114" si="23">$G$10+H79*$K$10</f>
        <v>259.37500000000006</v>
      </c>
      <c r="L79">
        <f t="shared" ref="L79:L80" si="24">$G$10+I79</f>
        <v>160.29874999999993</v>
      </c>
      <c r="M79">
        <f t="shared" ref="M79:M114" si="25">C79*D79^(1-EXP(-5*B79))+(1-C79)*E79</f>
        <v>0.52808719450224795</v>
      </c>
      <c r="N79">
        <f t="shared" si="11"/>
        <v>212.61964890430335</v>
      </c>
      <c r="O79">
        <f t="shared" si="12"/>
        <v>136.97261607402058</v>
      </c>
      <c r="P79">
        <f t="shared" si="13"/>
        <v>75.647032830282754</v>
      </c>
      <c r="Q79">
        <f t="shared" si="14"/>
        <v>212.61964890430335</v>
      </c>
      <c r="R79" s="4"/>
    </row>
    <row r="80" spans="2:18" x14ac:dyDescent="0.3">
      <c r="B80">
        <f t="shared" si="15"/>
        <v>0.66000000000000036</v>
      </c>
      <c r="C80">
        <f t="shared" si="19"/>
        <v>0.15446526508353364</v>
      </c>
      <c r="D80" s="6">
        <f t="shared" si="17"/>
        <v>0.6428571428571429</v>
      </c>
      <c r="E80" s="6">
        <f t="shared" ref="E80:E114" si="26">$E$10/($E$10+$C$10)</f>
        <v>0.5</v>
      </c>
      <c r="F80" s="8">
        <f t="shared" si="20"/>
        <v>0.21780000000000024</v>
      </c>
      <c r="G80" s="8">
        <f t="shared" si="21"/>
        <v>-0.18974736000000042</v>
      </c>
      <c r="H80">
        <f t="shared" si="18"/>
        <v>43.560000000000052</v>
      </c>
      <c r="I80">
        <f t="shared" si="18"/>
        <v>-37.949472000000085</v>
      </c>
      <c r="J80">
        <f t="shared" si="22"/>
        <v>5.6105279999999667</v>
      </c>
      <c r="K80">
        <f t="shared" si="23"/>
        <v>261.34000000000009</v>
      </c>
      <c r="L80">
        <f t="shared" si="24"/>
        <v>158.05052799999993</v>
      </c>
      <c r="M80">
        <f t="shared" si="25"/>
        <v>0.52369792070065246</v>
      </c>
      <c r="N80">
        <f t="shared" ref="N80:N114" si="27">M80*K80+(1-M80)*L80</f>
        <v>212.1430097166683</v>
      </c>
      <c r="O80">
        <f t="shared" ref="O80:O114" si="28">K80*M80</f>
        <v>136.86321459590857</v>
      </c>
      <c r="P80">
        <f t="shared" ref="P80:P114" si="29">(1-M80)*L80</f>
        <v>75.279795120759715</v>
      </c>
      <c r="Q80">
        <f t="shared" ref="Q80:Q114" si="30">P80+O80</f>
        <v>212.1430097166683</v>
      </c>
      <c r="R80" s="4"/>
    </row>
    <row r="81" spans="2:18" x14ac:dyDescent="0.3">
      <c r="B81">
        <f t="shared" ref="B81:B114" si="31">B80+0.01</f>
        <v>0.67000000000000037</v>
      </c>
      <c r="C81">
        <f t="shared" si="19"/>
        <v>0.13010847436299688</v>
      </c>
      <c r="D81" s="6">
        <f t="shared" si="17"/>
        <v>0.6428571428571429</v>
      </c>
      <c r="E81" s="6">
        <f t="shared" si="26"/>
        <v>0.5</v>
      </c>
      <c r="F81" s="8">
        <f t="shared" si="20"/>
        <v>0.22445000000000026</v>
      </c>
      <c r="G81" s="8">
        <f t="shared" si="21"/>
        <v>-0.20151121000000047</v>
      </c>
      <c r="H81">
        <f t="shared" si="18"/>
        <v>44.89000000000005</v>
      </c>
      <c r="I81">
        <f t="shared" si="18"/>
        <v>-40.302242000000092</v>
      </c>
      <c r="J81">
        <f t="shared" si="22"/>
        <v>4.5877579999999583</v>
      </c>
      <c r="K81">
        <f t="shared" si="23"/>
        <v>263.33500000000009</v>
      </c>
      <c r="L81">
        <f t="shared" ref="L81:L114" si="32">$G$10+I81</f>
        <v>155.69775799999991</v>
      </c>
      <c r="M81">
        <f t="shared" si="25"/>
        <v>0.51989358277772535</v>
      </c>
      <c r="N81">
        <f t="shared" si="27"/>
        <v>211.65766938369308</v>
      </c>
      <c r="O81">
        <f t="shared" si="28"/>
        <v>136.90617662077236</v>
      </c>
      <c r="P81">
        <f t="shared" si="29"/>
        <v>74.751492762920705</v>
      </c>
      <c r="Q81">
        <f t="shared" si="30"/>
        <v>211.65766938369308</v>
      </c>
      <c r="R81" s="4"/>
    </row>
    <row r="82" spans="2:18" x14ac:dyDescent="0.3">
      <c r="B82">
        <f t="shared" si="31"/>
        <v>0.68000000000000038</v>
      </c>
      <c r="C82">
        <f t="shared" si="19"/>
        <v>0.10909682119561204</v>
      </c>
      <c r="D82" s="6">
        <f t="shared" si="17"/>
        <v>0.6428571428571429</v>
      </c>
      <c r="E82" s="6">
        <f t="shared" si="26"/>
        <v>0.5</v>
      </c>
      <c r="F82" s="8">
        <f t="shared" si="20"/>
        <v>0.23120000000000027</v>
      </c>
      <c r="G82" s="8">
        <f t="shared" si="21"/>
        <v>-0.21381376000000049</v>
      </c>
      <c r="H82">
        <f t="shared" si="18"/>
        <v>46.240000000000052</v>
      </c>
      <c r="I82">
        <f t="shared" si="18"/>
        <v>-42.762752000000098</v>
      </c>
      <c r="J82">
        <f t="shared" si="22"/>
        <v>3.4772479999999533</v>
      </c>
      <c r="K82">
        <f t="shared" si="23"/>
        <v>265.36000000000007</v>
      </c>
      <c r="L82">
        <f t="shared" si="32"/>
        <v>153.23724799999991</v>
      </c>
      <c r="M82">
        <f t="shared" si="25"/>
        <v>0.51662707154885401</v>
      </c>
      <c r="N82">
        <f t="shared" si="27"/>
        <v>211.16289701975842</v>
      </c>
      <c r="O82">
        <f t="shared" si="28"/>
        <v>137.09215970620394</v>
      </c>
      <c r="P82">
        <f t="shared" si="29"/>
        <v>74.070737313554474</v>
      </c>
      <c r="Q82">
        <f t="shared" si="30"/>
        <v>211.16289701975842</v>
      </c>
      <c r="R82" s="4"/>
    </row>
    <row r="83" spans="2:18" x14ac:dyDescent="0.3">
      <c r="B83">
        <f t="shared" si="31"/>
        <v>0.69000000000000039</v>
      </c>
      <c r="C83">
        <f t="shared" si="19"/>
        <v>9.1122961014855508E-2</v>
      </c>
      <c r="D83" s="6">
        <f t="shared" si="17"/>
        <v>0.6428571428571429</v>
      </c>
      <c r="E83" s="6">
        <f t="shared" si="26"/>
        <v>0.5</v>
      </c>
      <c r="F83" s="8">
        <f t="shared" si="20"/>
        <v>0.23805000000000026</v>
      </c>
      <c r="G83" s="8">
        <f t="shared" si="21"/>
        <v>-0.22667121000000051</v>
      </c>
      <c r="H83">
        <f t="shared" si="18"/>
        <v>47.610000000000049</v>
      </c>
      <c r="I83">
        <f t="shared" si="18"/>
        <v>-45.334242000000103</v>
      </c>
      <c r="J83">
        <f t="shared" si="22"/>
        <v>2.2757579999999464</v>
      </c>
      <c r="K83">
        <f t="shared" si="23"/>
        <v>267.41500000000008</v>
      </c>
      <c r="L83">
        <f t="shared" si="32"/>
        <v>150.6657579999999</v>
      </c>
      <c r="M83">
        <f t="shared" si="25"/>
        <v>0.51384500024532298</v>
      </c>
      <c r="N83">
        <f t="shared" si="27"/>
        <v>210.65677228413125</v>
      </c>
      <c r="O83">
        <f t="shared" si="28"/>
        <v>137.40986074060308</v>
      </c>
      <c r="P83">
        <f t="shared" si="29"/>
        <v>73.246911543528171</v>
      </c>
      <c r="Q83">
        <f t="shared" si="30"/>
        <v>210.65677228413125</v>
      </c>
      <c r="R83" s="4"/>
    </row>
    <row r="84" spans="2:18" x14ac:dyDescent="0.3">
      <c r="B84">
        <f t="shared" si="31"/>
        <v>0.7000000000000004</v>
      </c>
      <c r="C84">
        <f t="shared" si="19"/>
        <v>7.5858180021242894E-2</v>
      </c>
      <c r="D84" s="6">
        <f t="shared" si="17"/>
        <v>0.6428571428571429</v>
      </c>
      <c r="E84" s="6">
        <f t="shared" si="26"/>
        <v>0.5</v>
      </c>
      <c r="F84" s="8">
        <f t="shared" si="20"/>
        <v>0.24500000000000027</v>
      </c>
      <c r="G84" s="8">
        <f t="shared" si="21"/>
        <v>-0.24010000000000054</v>
      </c>
      <c r="H84">
        <f t="shared" si="18"/>
        <v>49.000000000000057</v>
      </c>
      <c r="I84">
        <f t="shared" si="18"/>
        <v>-48.02000000000011</v>
      </c>
      <c r="J84">
        <f t="shared" si="22"/>
        <v>0.97999999999994714</v>
      </c>
      <c r="K84">
        <f t="shared" si="23"/>
        <v>269.50000000000011</v>
      </c>
      <c r="L84">
        <f t="shared" si="32"/>
        <v>147.9799999999999</v>
      </c>
      <c r="M84">
        <f t="shared" si="25"/>
        <v>0.51149188776778043</v>
      </c>
      <c r="N84">
        <f t="shared" si="27"/>
        <v>210.1364942015407</v>
      </c>
      <c r="O84">
        <f t="shared" si="28"/>
        <v>137.84706375341688</v>
      </c>
      <c r="P84">
        <f t="shared" si="29"/>
        <v>72.289430448123809</v>
      </c>
      <c r="Q84">
        <f t="shared" si="30"/>
        <v>210.1364942015407</v>
      </c>
      <c r="R84" s="4"/>
    </row>
    <row r="85" spans="2:18" x14ac:dyDescent="0.3">
      <c r="B85">
        <f t="shared" si="31"/>
        <v>0.71000000000000041</v>
      </c>
      <c r="C85">
        <f t="shared" si="19"/>
        <v>6.2973356056995833E-2</v>
      </c>
      <c r="D85" s="6">
        <f t="shared" si="17"/>
        <v>0.6428571428571429</v>
      </c>
      <c r="E85" s="6">
        <f t="shared" si="26"/>
        <v>0.5</v>
      </c>
      <c r="F85" s="8">
        <f t="shared" si="20"/>
        <v>0.25205000000000027</v>
      </c>
      <c r="G85" s="8">
        <f t="shared" si="21"/>
        <v>-0.25411681000000053</v>
      </c>
      <c r="H85">
        <f t="shared" si="18"/>
        <v>50.410000000000053</v>
      </c>
      <c r="I85">
        <f t="shared" si="18"/>
        <v>-50.823362000000103</v>
      </c>
      <c r="J85">
        <f t="shared" si="22"/>
        <v>-0.41336200000004908</v>
      </c>
      <c r="K85">
        <f t="shared" si="23"/>
        <v>271.61500000000007</v>
      </c>
      <c r="L85">
        <f t="shared" si="32"/>
        <v>145.17663799999991</v>
      </c>
      <c r="M85">
        <f t="shared" si="25"/>
        <v>0.5095132557491282</v>
      </c>
      <c r="N85">
        <f t="shared" si="27"/>
        <v>209.59865947420684</v>
      </c>
      <c r="O85">
        <f t="shared" si="28"/>
        <v>138.39144296029949</v>
      </c>
      <c r="P85">
        <f t="shared" si="29"/>
        <v>71.207216513907355</v>
      </c>
      <c r="Q85">
        <f t="shared" si="30"/>
        <v>209.59865947420684</v>
      </c>
      <c r="R85" s="4"/>
    </row>
    <row r="86" spans="2:18" x14ac:dyDescent="0.3">
      <c r="B86">
        <f t="shared" si="31"/>
        <v>0.72000000000000042</v>
      </c>
      <c r="C86">
        <f t="shared" si="19"/>
        <v>5.2153563078417231E-2</v>
      </c>
      <c r="D86" s="6">
        <f t="shared" si="17"/>
        <v>0.6428571428571429</v>
      </c>
      <c r="E86" s="6">
        <f t="shared" si="26"/>
        <v>0.5</v>
      </c>
      <c r="F86" s="8">
        <f t="shared" si="20"/>
        <v>0.25920000000000032</v>
      </c>
      <c r="G86" s="8">
        <f t="shared" si="21"/>
        <v>-0.26873856000000068</v>
      </c>
      <c r="H86">
        <f t="shared" si="18"/>
        <v>51.84000000000006</v>
      </c>
      <c r="I86">
        <f t="shared" si="18"/>
        <v>-53.747712000000135</v>
      </c>
      <c r="J86">
        <f t="shared" si="22"/>
        <v>-1.9077120000000747</v>
      </c>
      <c r="K86">
        <f t="shared" si="23"/>
        <v>273.7600000000001</v>
      </c>
      <c r="L86">
        <f t="shared" si="32"/>
        <v>142.25228799999985</v>
      </c>
      <c r="M86">
        <f t="shared" si="25"/>
        <v>0.50785772083551883</v>
      </c>
      <c r="N86">
        <f t="shared" si="27"/>
        <v>209.03949488861377</v>
      </c>
      <c r="O86">
        <f t="shared" si="28"/>
        <v>139.03112965593169</v>
      </c>
      <c r="P86">
        <f t="shared" si="29"/>
        <v>70.008365232682095</v>
      </c>
      <c r="Q86">
        <f t="shared" si="30"/>
        <v>209.03949488861377</v>
      </c>
      <c r="R86" s="4"/>
    </row>
    <row r="87" spans="2:18" x14ac:dyDescent="0.3">
      <c r="B87">
        <f t="shared" si="31"/>
        <v>0.73000000000000043</v>
      </c>
      <c r="C87">
        <f t="shared" si="19"/>
        <v>4.3107254941085693E-2</v>
      </c>
      <c r="D87" s="6">
        <f t="shared" si="17"/>
        <v>0.6428571428571429</v>
      </c>
      <c r="E87" s="6">
        <f t="shared" si="26"/>
        <v>0.5</v>
      </c>
      <c r="F87" s="8">
        <f t="shared" si="20"/>
        <v>0.2664500000000003</v>
      </c>
      <c r="G87" s="8">
        <f t="shared" si="21"/>
        <v>-0.28398241000000063</v>
      </c>
      <c r="H87">
        <f t="shared" si="18"/>
        <v>53.290000000000063</v>
      </c>
      <c r="I87">
        <f t="shared" si="18"/>
        <v>-56.796482000000125</v>
      </c>
      <c r="J87">
        <f t="shared" si="22"/>
        <v>-3.5064820000000623</v>
      </c>
      <c r="K87">
        <f t="shared" si="23"/>
        <v>275.93500000000006</v>
      </c>
      <c r="L87">
        <f t="shared" si="32"/>
        <v>139.20351799999986</v>
      </c>
      <c r="M87">
        <f t="shared" si="25"/>
        <v>0.50647824851542589</v>
      </c>
      <c r="N87">
        <f t="shared" si="27"/>
        <v>208.45503952027843</v>
      </c>
      <c r="O87">
        <f t="shared" si="28"/>
        <v>139.75507550410407</v>
      </c>
      <c r="P87">
        <f t="shared" si="29"/>
        <v>68.699964016174377</v>
      </c>
      <c r="Q87">
        <f t="shared" si="30"/>
        <v>208.45503952027843</v>
      </c>
      <c r="R87" s="4"/>
    </row>
    <row r="88" spans="2:18" x14ac:dyDescent="0.3">
      <c r="B88">
        <f t="shared" si="31"/>
        <v>0.74000000000000044</v>
      </c>
      <c r="C88">
        <f t="shared" si="19"/>
        <v>3.5571189272635917E-2</v>
      </c>
      <c r="D88" s="6">
        <f t="shared" si="17"/>
        <v>0.6428571428571429</v>
      </c>
      <c r="E88" s="6">
        <f t="shared" si="26"/>
        <v>0.5</v>
      </c>
      <c r="F88" s="8">
        <f t="shared" si="20"/>
        <v>0.27380000000000032</v>
      </c>
      <c r="G88" s="8">
        <f t="shared" si="21"/>
        <v>-0.2998657600000007</v>
      </c>
      <c r="H88">
        <f t="shared" si="18"/>
        <v>54.760000000000062</v>
      </c>
      <c r="I88">
        <f t="shared" si="18"/>
        <v>-59.973152000000141</v>
      </c>
      <c r="J88">
        <f t="shared" si="22"/>
        <v>-5.2131520000000791</v>
      </c>
      <c r="K88">
        <f t="shared" si="23"/>
        <v>278.1400000000001</v>
      </c>
      <c r="L88">
        <f t="shared" si="32"/>
        <v>136.02684799999986</v>
      </c>
      <c r="M88">
        <f t="shared" si="25"/>
        <v>0.50533276130748983</v>
      </c>
      <c r="N88">
        <f t="shared" si="27"/>
        <v>207.84127951827099</v>
      </c>
      <c r="O88">
        <f t="shared" si="28"/>
        <v>140.55325423006528</v>
      </c>
      <c r="P88">
        <f t="shared" si="29"/>
        <v>67.288025288205731</v>
      </c>
      <c r="Q88">
        <f t="shared" si="30"/>
        <v>207.84127951827099</v>
      </c>
      <c r="R88" s="4"/>
    </row>
    <row r="89" spans="2:18" x14ac:dyDescent="0.3">
      <c r="B89">
        <f t="shared" si="31"/>
        <v>0.75000000000000044</v>
      </c>
      <c r="C89">
        <f t="shared" si="19"/>
        <v>2.9312230751356028E-2</v>
      </c>
      <c r="D89" s="6">
        <f t="shared" si="17"/>
        <v>0.6428571428571429</v>
      </c>
      <c r="E89" s="6">
        <f t="shared" si="26"/>
        <v>0.5</v>
      </c>
      <c r="F89" s="8">
        <f t="shared" si="20"/>
        <v>0.28125000000000033</v>
      </c>
      <c r="G89" s="8">
        <f t="shared" si="21"/>
        <v>-0.31640625000000078</v>
      </c>
      <c r="H89">
        <f t="shared" si="18"/>
        <v>56.250000000000064</v>
      </c>
      <c r="I89">
        <f t="shared" si="18"/>
        <v>-63.281250000000156</v>
      </c>
      <c r="J89">
        <f t="shared" si="22"/>
        <v>-7.0312500000000924</v>
      </c>
      <c r="K89">
        <f t="shared" si="23"/>
        <v>280.37500000000011</v>
      </c>
      <c r="L89">
        <f t="shared" si="32"/>
        <v>132.71874999999983</v>
      </c>
      <c r="M89">
        <f t="shared" si="25"/>
        <v>0.50438428426757187</v>
      </c>
      <c r="N89">
        <f t="shared" si="27"/>
        <v>207.19424197388363</v>
      </c>
      <c r="O89">
        <f t="shared" si="28"/>
        <v>141.41674370152052</v>
      </c>
      <c r="P89">
        <f t="shared" si="29"/>
        <v>65.777498272363118</v>
      </c>
      <c r="Q89">
        <f t="shared" si="30"/>
        <v>207.19424197388363</v>
      </c>
      <c r="R89" s="4"/>
    </row>
    <row r="90" spans="2:18" x14ac:dyDescent="0.3">
      <c r="B90">
        <f t="shared" si="31"/>
        <v>0.76000000000000045</v>
      </c>
      <c r="C90">
        <f t="shared" si="19"/>
        <v>2.4127021417668981E-2</v>
      </c>
      <c r="D90" s="6">
        <f t="shared" si="17"/>
        <v>0.6428571428571429</v>
      </c>
      <c r="E90" s="6">
        <f t="shared" si="26"/>
        <v>0.5</v>
      </c>
      <c r="F90" s="8">
        <f t="shared" si="20"/>
        <v>0.28880000000000033</v>
      </c>
      <c r="G90" s="8">
        <f t="shared" si="21"/>
        <v>-0.33362176000000077</v>
      </c>
      <c r="H90">
        <f t="shared" si="18"/>
        <v>57.760000000000069</v>
      </c>
      <c r="I90">
        <f t="shared" si="18"/>
        <v>-66.724352000000152</v>
      </c>
      <c r="J90">
        <f t="shared" si="22"/>
        <v>-8.9643520000000834</v>
      </c>
      <c r="K90">
        <f t="shared" si="23"/>
        <v>282.6400000000001</v>
      </c>
      <c r="L90">
        <f t="shared" si="32"/>
        <v>129.27564799999985</v>
      </c>
      <c r="M90">
        <f t="shared" si="25"/>
        <v>0.50360078275395725</v>
      </c>
      <c r="N90">
        <f t="shared" si="27"/>
        <v>206.51005571375339</v>
      </c>
      <c r="O90">
        <f t="shared" si="28"/>
        <v>142.33772523757852</v>
      </c>
      <c r="P90">
        <f t="shared" si="29"/>
        <v>64.172330476174878</v>
      </c>
      <c r="Q90">
        <f t="shared" si="30"/>
        <v>206.51005571375339</v>
      </c>
      <c r="R90" s="4"/>
    </row>
    <row r="91" spans="2:18" x14ac:dyDescent="0.3">
      <c r="B91">
        <f t="shared" si="31"/>
        <v>0.77000000000000046</v>
      </c>
      <c r="C91">
        <f t="shared" si="19"/>
        <v>1.9840305734077246E-2</v>
      </c>
      <c r="D91" s="6">
        <f t="shared" si="17"/>
        <v>0.6428571428571429</v>
      </c>
      <c r="E91" s="6">
        <f t="shared" si="26"/>
        <v>0.5</v>
      </c>
      <c r="F91" s="8">
        <f t="shared" si="20"/>
        <v>0.29645000000000038</v>
      </c>
      <c r="G91" s="8">
        <f t="shared" si="21"/>
        <v>-0.3515304100000009</v>
      </c>
      <c r="H91">
        <f t="shared" si="18"/>
        <v>59.290000000000077</v>
      </c>
      <c r="I91">
        <f t="shared" si="18"/>
        <v>-70.306082000000174</v>
      </c>
      <c r="J91">
        <f t="shared" si="22"/>
        <v>-11.016082000000097</v>
      </c>
      <c r="K91">
        <f t="shared" si="23"/>
        <v>284.93500000000012</v>
      </c>
      <c r="L91">
        <f t="shared" si="32"/>
        <v>125.69391799999983</v>
      </c>
      <c r="M91">
        <f t="shared" si="25"/>
        <v>0.50295481362467453</v>
      </c>
      <c r="N91">
        <f t="shared" si="27"/>
        <v>205.7849867187015</v>
      </c>
      <c r="O91">
        <f t="shared" si="28"/>
        <v>143.3094298201467</v>
      </c>
      <c r="P91">
        <f t="shared" si="29"/>
        <v>62.475556898554792</v>
      </c>
      <c r="Q91">
        <f t="shared" si="30"/>
        <v>205.7849867187015</v>
      </c>
      <c r="R91" s="4"/>
    </row>
    <row r="92" spans="2:18" x14ac:dyDescent="0.3">
      <c r="B92">
        <f t="shared" si="31"/>
        <v>0.78000000000000047</v>
      </c>
      <c r="C92">
        <f t="shared" si="19"/>
        <v>1.6302499371440682E-2</v>
      </c>
      <c r="D92" s="6">
        <f t="shared" si="17"/>
        <v>0.6428571428571429</v>
      </c>
      <c r="E92" s="6">
        <f t="shared" si="26"/>
        <v>0.5</v>
      </c>
      <c r="F92" s="8">
        <f t="shared" si="20"/>
        <v>0.30420000000000036</v>
      </c>
      <c r="G92" s="8">
        <f t="shared" si="21"/>
        <v>-0.37015056000000085</v>
      </c>
      <c r="H92">
        <f t="shared" si="18"/>
        <v>60.840000000000074</v>
      </c>
      <c r="I92">
        <f t="shared" si="18"/>
        <v>-74.030112000000173</v>
      </c>
      <c r="J92">
        <f t="shared" si="22"/>
        <v>-13.190112000000099</v>
      </c>
      <c r="K92">
        <f t="shared" si="23"/>
        <v>287.2600000000001</v>
      </c>
      <c r="L92">
        <f t="shared" si="32"/>
        <v>121.96988799999983</v>
      </c>
      <c r="M92">
        <f t="shared" si="25"/>
        <v>0.50242307875926584</v>
      </c>
      <c r="N92">
        <f t="shared" si="27"/>
        <v>205.01545495950384</v>
      </c>
      <c r="O92">
        <f t="shared" si="28"/>
        <v>144.32605360438677</v>
      </c>
      <c r="P92">
        <f t="shared" si="29"/>
        <v>60.689401355117077</v>
      </c>
      <c r="Q92">
        <f t="shared" si="30"/>
        <v>205.01545495950384</v>
      </c>
      <c r="R92" s="4"/>
    </row>
    <row r="93" spans="2:18" x14ac:dyDescent="0.3">
      <c r="B93">
        <f t="shared" si="31"/>
        <v>0.79000000000000048</v>
      </c>
      <c r="C93">
        <f t="shared" si="19"/>
        <v>1.3386917827664657E-2</v>
      </c>
      <c r="D93" s="6">
        <f t="shared" si="17"/>
        <v>0.6428571428571429</v>
      </c>
      <c r="E93" s="6">
        <f t="shared" si="26"/>
        <v>0.5</v>
      </c>
      <c r="F93" s="8">
        <f t="shared" si="20"/>
        <v>0.31205000000000038</v>
      </c>
      <c r="G93" s="8">
        <f t="shared" si="21"/>
        <v>-0.38950081000000097</v>
      </c>
      <c r="H93">
        <f t="shared" si="18"/>
        <v>62.410000000000075</v>
      </c>
      <c r="I93">
        <f t="shared" si="18"/>
        <v>-77.900162000000194</v>
      </c>
      <c r="J93">
        <f t="shared" si="22"/>
        <v>-15.490162000000119</v>
      </c>
      <c r="K93">
        <f t="shared" si="23"/>
        <v>289.61500000000012</v>
      </c>
      <c r="L93">
        <f t="shared" si="32"/>
        <v>118.09983799999981</v>
      </c>
      <c r="M93">
        <f t="shared" si="25"/>
        <v>0.50198594240810723</v>
      </c>
      <c r="N93">
        <f t="shared" si="27"/>
        <v>204.19803823384913</v>
      </c>
      <c r="O93">
        <f t="shared" si="28"/>
        <v>145.38265871052403</v>
      </c>
      <c r="P93">
        <f t="shared" si="29"/>
        <v>58.815379523325106</v>
      </c>
      <c r="Q93">
        <f t="shared" si="30"/>
        <v>204.19803823384913</v>
      </c>
      <c r="R93" s="4"/>
    </row>
    <row r="94" spans="2:18" x14ac:dyDescent="0.3">
      <c r="B94">
        <f t="shared" si="31"/>
        <v>0.80000000000000049</v>
      </c>
      <c r="C94">
        <f t="shared" si="19"/>
        <v>1.0986942630593188E-2</v>
      </c>
      <c r="D94" s="6">
        <f t="shared" si="17"/>
        <v>0.6428571428571429</v>
      </c>
      <c r="E94" s="6">
        <f t="shared" si="26"/>
        <v>0.5</v>
      </c>
      <c r="F94" s="8">
        <f t="shared" si="20"/>
        <v>0.3200000000000004</v>
      </c>
      <c r="G94" s="8">
        <f t="shared" si="21"/>
        <v>-0.40960000000000102</v>
      </c>
      <c r="H94">
        <f t="shared" si="18"/>
        <v>64.000000000000085</v>
      </c>
      <c r="I94">
        <f t="shared" si="18"/>
        <v>-81.920000000000201</v>
      </c>
      <c r="J94">
        <f t="shared" si="22"/>
        <v>-17.920000000000115</v>
      </c>
      <c r="K94">
        <f t="shared" si="23"/>
        <v>292.00000000000011</v>
      </c>
      <c r="L94">
        <f t="shared" si="32"/>
        <v>114.0799999999998</v>
      </c>
      <c r="M94">
        <f t="shared" si="25"/>
        <v>0.50162695237697186</v>
      </c>
      <c r="N94">
        <f t="shared" si="27"/>
        <v>203.32946736691079</v>
      </c>
      <c r="O94">
        <f t="shared" si="28"/>
        <v>146.47507009407585</v>
      </c>
      <c r="P94">
        <f t="shared" si="29"/>
        <v>56.854397272834952</v>
      </c>
      <c r="Q94">
        <f t="shared" si="30"/>
        <v>203.32946736691079</v>
      </c>
      <c r="R94" s="7"/>
    </row>
    <row r="95" spans="2:18" x14ac:dyDescent="0.3">
      <c r="B95">
        <f t="shared" si="31"/>
        <v>0.8100000000000005</v>
      </c>
      <c r="C95">
        <f t="shared" si="19"/>
        <v>9.0132986528477232E-3</v>
      </c>
      <c r="D95" s="6">
        <f t="shared" si="17"/>
        <v>0.6428571428571429</v>
      </c>
      <c r="E95" s="6">
        <f t="shared" si="26"/>
        <v>0.5</v>
      </c>
      <c r="F95" s="8">
        <f t="shared" si="20"/>
        <v>0.3280500000000004</v>
      </c>
      <c r="G95" s="8">
        <f t="shared" si="21"/>
        <v>-0.43046721000000104</v>
      </c>
      <c r="H95">
        <f t="shared" si="18"/>
        <v>65.610000000000085</v>
      </c>
      <c r="I95">
        <f t="shared" si="18"/>
        <v>-86.093442000000209</v>
      </c>
      <c r="J95">
        <f t="shared" si="22"/>
        <v>-20.483442000000124</v>
      </c>
      <c r="K95">
        <f t="shared" si="23"/>
        <v>294.41500000000013</v>
      </c>
      <c r="L95">
        <f t="shared" si="32"/>
        <v>109.90655799999979</v>
      </c>
      <c r="M95">
        <f t="shared" si="25"/>
        <v>0.50133238914669875</v>
      </c>
      <c r="N95">
        <f t="shared" si="27"/>
        <v>202.40661604559506</v>
      </c>
      <c r="O95">
        <f t="shared" si="28"/>
        <v>147.59977535062538</v>
      </c>
      <c r="P95">
        <f t="shared" si="29"/>
        <v>54.806840694969679</v>
      </c>
      <c r="Q95">
        <f t="shared" si="30"/>
        <v>202.40661604559506</v>
      </c>
      <c r="R95" s="4"/>
    </row>
    <row r="96" spans="2:18" x14ac:dyDescent="0.3">
      <c r="B96">
        <f t="shared" si="31"/>
        <v>0.82000000000000051</v>
      </c>
      <c r="C96">
        <f t="shared" si="19"/>
        <v>7.3915413442818823E-3</v>
      </c>
      <c r="D96" s="6">
        <f t="shared" si="17"/>
        <v>0.6428571428571429</v>
      </c>
      <c r="E96" s="6">
        <f t="shared" si="26"/>
        <v>0.5</v>
      </c>
      <c r="F96" s="8">
        <f t="shared" si="20"/>
        <v>0.33620000000000039</v>
      </c>
      <c r="G96" s="8">
        <f t="shared" si="21"/>
        <v>-0.45212176000000104</v>
      </c>
      <c r="H96">
        <f t="shared" si="18"/>
        <v>67.24000000000008</v>
      </c>
      <c r="I96">
        <f t="shared" si="18"/>
        <v>-90.424352000000212</v>
      </c>
      <c r="J96">
        <f t="shared" si="22"/>
        <v>-23.184352000000132</v>
      </c>
      <c r="K96">
        <f t="shared" si="23"/>
        <v>296.86000000000013</v>
      </c>
      <c r="L96">
        <f t="shared" si="32"/>
        <v>105.57564799999979</v>
      </c>
      <c r="M96">
        <f t="shared" si="25"/>
        <v>0.50109085582684398</v>
      </c>
      <c r="N96">
        <f t="shared" si="27"/>
        <v>201.42648764996324</v>
      </c>
      <c r="O96">
        <f t="shared" si="28"/>
        <v>148.75383146075697</v>
      </c>
      <c r="P96">
        <f t="shared" si="29"/>
        <v>52.672656189206265</v>
      </c>
      <c r="Q96">
        <f t="shared" si="30"/>
        <v>201.42648764996324</v>
      </c>
      <c r="R96" s="4"/>
    </row>
    <row r="97" spans="2:18" x14ac:dyDescent="0.3">
      <c r="B97">
        <f t="shared" si="31"/>
        <v>0.83000000000000052</v>
      </c>
      <c r="C97">
        <f t="shared" si="19"/>
        <v>6.059801491584027E-3</v>
      </c>
      <c r="D97" s="6">
        <f t="shared" si="17"/>
        <v>0.6428571428571429</v>
      </c>
      <c r="E97" s="6">
        <f t="shared" si="26"/>
        <v>0.5</v>
      </c>
      <c r="F97" s="8">
        <f t="shared" si="20"/>
        <v>0.34445000000000042</v>
      </c>
      <c r="G97" s="8">
        <f t="shared" si="21"/>
        <v>-0.47458321000000114</v>
      </c>
      <c r="H97">
        <f t="shared" si="18"/>
        <v>68.890000000000086</v>
      </c>
      <c r="I97">
        <f t="shared" si="18"/>
        <v>-94.916642000000223</v>
      </c>
      <c r="J97">
        <f t="shared" si="22"/>
        <v>-26.026642000000138</v>
      </c>
      <c r="K97">
        <f t="shared" si="23"/>
        <v>299.33500000000015</v>
      </c>
      <c r="L97">
        <f t="shared" si="32"/>
        <v>101.08335799999978</v>
      </c>
      <c r="M97">
        <f t="shared" si="25"/>
        <v>0.50089291432206029</v>
      </c>
      <c r="N97">
        <f t="shared" si="27"/>
        <v>200.38620073051374</v>
      </c>
      <c r="O97">
        <f t="shared" si="28"/>
        <v>149.934780508594</v>
      </c>
      <c r="P97">
        <f t="shared" si="29"/>
        <v>50.45142022191974</v>
      </c>
      <c r="Q97">
        <f t="shared" si="30"/>
        <v>200.38620073051374</v>
      </c>
      <c r="R97" s="4"/>
    </row>
    <row r="98" spans="2:18" x14ac:dyDescent="0.3">
      <c r="B98">
        <f t="shared" si="31"/>
        <v>0.84000000000000052</v>
      </c>
      <c r="C98">
        <f t="shared" si="19"/>
        <v>4.9668016500568068E-3</v>
      </c>
      <c r="D98" s="6">
        <f t="shared" si="17"/>
        <v>0.6428571428571429</v>
      </c>
      <c r="E98" s="6">
        <f t="shared" si="26"/>
        <v>0.5</v>
      </c>
      <c r="F98" s="8">
        <f t="shared" si="20"/>
        <v>0.35280000000000045</v>
      </c>
      <c r="G98" s="8">
        <f t="shared" si="21"/>
        <v>-0.49787136000000126</v>
      </c>
      <c r="H98">
        <f t="shared" si="18"/>
        <v>70.560000000000088</v>
      </c>
      <c r="I98">
        <f t="shared" si="18"/>
        <v>-99.574272000000249</v>
      </c>
      <c r="J98">
        <f t="shared" si="22"/>
        <v>-29.014272000000162</v>
      </c>
      <c r="K98">
        <f t="shared" si="23"/>
        <v>301.84000000000015</v>
      </c>
      <c r="L98">
        <f t="shared" si="32"/>
        <v>96.425727999999751</v>
      </c>
      <c r="M98">
        <f t="shared" si="25"/>
        <v>0.50073076829740781</v>
      </c>
      <c r="N98">
        <f t="shared" si="27"/>
        <v>199.28297423781265</v>
      </c>
      <c r="O98">
        <f t="shared" si="28"/>
        <v>151.14057510288964</v>
      </c>
      <c r="P98">
        <f t="shared" si="29"/>
        <v>48.142399134923004</v>
      </c>
      <c r="Q98">
        <f t="shared" si="30"/>
        <v>199.28297423781265</v>
      </c>
      <c r="R98" s="4"/>
    </row>
    <row r="99" spans="2:18" x14ac:dyDescent="0.3">
      <c r="B99">
        <f t="shared" si="31"/>
        <v>0.85000000000000053</v>
      </c>
      <c r="C99">
        <f t="shared" si="19"/>
        <v>4.0701377158960383E-3</v>
      </c>
      <c r="D99" s="6">
        <f t="shared" si="17"/>
        <v>0.6428571428571429</v>
      </c>
      <c r="E99" s="6">
        <f t="shared" si="26"/>
        <v>0.5</v>
      </c>
      <c r="F99" s="8">
        <f t="shared" si="20"/>
        <v>0.36125000000000046</v>
      </c>
      <c r="G99" s="8">
        <f t="shared" si="21"/>
        <v>-0.52200625000000134</v>
      </c>
      <c r="H99">
        <f t="shared" si="18"/>
        <v>72.250000000000085</v>
      </c>
      <c r="I99">
        <f t="shared" si="18"/>
        <v>-104.40125000000026</v>
      </c>
      <c r="J99">
        <f t="shared" si="22"/>
        <v>-32.151250000000175</v>
      </c>
      <c r="K99">
        <f t="shared" si="23"/>
        <v>304.37500000000011</v>
      </c>
      <c r="L99">
        <f t="shared" si="32"/>
        <v>91.59874999999974</v>
      </c>
      <c r="M99">
        <f t="shared" si="25"/>
        <v>0.50059799067128852</v>
      </c>
      <c r="N99">
        <f t="shared" si="27"/>
        <v>198.11411321257168</v>
      </c>
      <c r="O99">
        <f t="shared" si="28"/>
        <v>152.36951341057349</v>
      </c>
      <c r="P99">
        <f t="shared" si="29"/>
        <v>45.744599801998184</v>
      </c>
      <c r="Q99">
        <f t="shared" si="30"/>
        <v>198.11411321257168</v>
      </c>
      <c r="R99" s="4"/>
    </row>
    <row r="100" spans="2:18" x14ac:dyDescent="0.3">
      <c r="B100">
        <f t="shared" si="31"/>
        <v>0.86000000000000054</v>
      </c>
      <c r="C100">
        <f t="shared" si="19"/>
        <v>3.3348073074133122E-3</v>
      </c>
      <c r="D100" s="6">
        <f t="shared" si="17"/>
        <v>0.6428571428571429</v>
      </c>
      <c r="E100" s="6">
        <f t="shared" si="26"/>
        <v>0.5</v>
      </c>
      <c r="F100" s="8">
        <f t="shared" si="20"/>
        <v>0.36980000000000046</v>
      </c>
      <c r="G100" s="8">
        <f t="shared" si="21"/>
        <v>-0.54700816000000141</v>
      </c>
      <c r="H100">
        <f t="shared" si="18"/>
        <v>73.960000000000093</v>
      </c>
      <c r="I100">
        <f t="shared" si="18"/>
        <v>-109.40163200000028</v>
      </c>
      <c r="J100">
        <f t="shared" si="22"/>
        <v>-35.441632000000183</v>
      </c>
      <c r="K100">
        <f t="shared" si="23"/>
        <v>306.94000000000017</v>
      </c>
      <c r="L100">
        <f t="shared" si="32"/>
        <v>86.598367999999724</v>
      </c>
      <c r="M100">
        <f t="shared" si="25"/>
        <v>0.50048929182721302</v>
      </c>
      <c r="N100">
        <f t="shared" si="27"/>
        <v>196.87699535973235</v>
      </c>
      <c r="O100">
        <f t="shared" si="28"/>
        <v>153.62018323344486</v>
      </c>
      <c r="P100">
        <f t="shared" si="29"/>
        <v>43.256812126287478</v>
      </c>
      <c r="Q100">
        <f t="shared" si="30"/>
        <v>196.87699535973235</v>
      </c>
      <c r="R100" s="4"/>
    </row>
    <row r="101" spans="2:18" x14ac:dyDescent="0.3">
      <c r="B101">
        <f t="shared" si="31"/>
        <v>0.87000000000000055</v>
      </c>
      <c r="C101">
        <f t="shared" si="19"/>
        <v>2.7319607630109655E-3</v>
      </c>
      <c r="D101" s="6">
        <f t="shared" si="17"/>
        <v>0.6428571428571429</v>
      </c>
      <c r="E101" s="6">
        <f t="shared" si="26"/>
        <v>0.5</v>
      </c>
      <c r="F101" s="8">
        <f t="shared" si="20"/>
        <v>0.37845000000000045</v>
      </c>
      <c r="G101" s="8">
        <f t="shared" si="21"/>
        <v>-0.57289761000000139</v>
      </c>
      <c r="H101">
        <f t="shared" si="18"/>
        <v>75.690000000000097</v>
      </c>
      <c r="I101">
        <f t="shared" si="18"/>
        <v>-114.57952200000028</v>
      </c>
      <c r="J101">
        <f t="shared" si="22"/>
        <v>-38.889522000000184</v>
      </c>
      <c r="K101">
        <f t="shared" si="23"/>
        <v>309.53500000000014</v>
      </c>
      <c r="L101">
        <f t="shared" si="32"/>
        <v>81.420477999999719</v>
      </c>
      <c r="M101">
        <f t="shared" si="25"/>
        <v>0.50040032406369583</v>
      </c>
      <c r="N101">
        <f t="shared" si="27"/>
        <v>195.569058732435</v>
      </c>
      <c r="O101">
        <f t="shared" si="28"/>
        <v>154.89141430905616</v>
      </c>
      <c r="P101">
        <f t="shared" si="29"/>
        <v>40.677644423378844</v>
      </c>
      <c r="Q101">
        <f t="shared" si="30"/>
        <v>195.569058732435</v>
      </c>
      <c r="R101" s="4"/>
    </row>
    <row r="102" spans="2:18" x14ac:dyDescent="0.3">
      <c r="B102">
        <f t="shared" si="31"/>
        <v>0.88000000000000056</v>
      </c>
      <c r="C102">
        <f t="shared" si="19"/>
        <v>2.2378485212761756E-3</v>
      </c>
      <c r="D102" s="6">
        <f t="shared" si="17"/>
        <v>0.6428571428571429</v>
      </c>
      <c r="E102" s="6">
        <f t="shared" si="26"/>
        <v>0.5</v>
      </c>
      <c r="F102" s="8">
        <f t="shared" si="20"/>
        <v>0.38720000000000049</v>
      </c>
      <c r="G102" s="8">
        <f t="shared" si="21"/>
        <v>-0.59969536000000156</v>
      </c>
      <c r="H102">
        <f t="shared" si="18"/>
        <v>77.440000000000097</v>
      </c>
      <c r="I102">
        <f t="shared" si="18"/>
        <v>-119.93907200000031</v>
      </c>
      <c r="J102">
        <f t="shared" si="22"/>
        <v>-42.499072000000211</v>
      </c>
      <c r="K102">
        <f t="shared" si="23"/>
        <v>312.16000000000014</v>
      </c>
      <c r="L102">
        <f t="shared" si="32"/>
        <v>76.060927999999691</v>
      </c>
      <c r="M102">
        <f t="shared" si="25"/>
        <v>0.50032751767209083</v>
      </c>
      <c r="N102">
        <f t="shared" si="27"/>
        <v>194.18779061844415</v>
      </c>
      <c r="O102">
        <f t="shared" si="28"/>
        <v>156.18223791651994</v>
      </c>
      <c r="P102">
        <f t="shared" si="29"/>
        <v>38.005552701924216</v>
      </c>
      <c r="Q102">
        <f t="shared" si="30"/>
        <v>194.18779061844415</v>
      </c>
      <c r="R102" s="4"/>
    </row>
    <row r="103" spans="2:18" x14ac:dyDescent="0.3">
      <c r="B103">
        <f t="shared" si="31"/>
        <v>0.89000000000000057</v>
      </c>
      <c r="C103">
        <f t="shared" si="19"/>
        <v>1.8329389424928122E-3</v>
      </c>
      <c r="D103" s="6">
        <f t="shared" si="17"/>
        <v>0.6428571428571429</v>
      </c>
      <c r="E103" s="6">
        <f t="shared" si="26"/>
        <v>0.5</v>
      </c>
      <c r="F103" s="8">
        <f t="shared" si="20"/>
        <v>0.39605000000000051</v>
      </c>
      <c r="G103" s="8">
        <f t="shared" si="21"/>
        <v>-0.62742241000000165</v>
      </c>
      <c r="H103">
        <f t="shared" si="18"/>
        <v>79.210000000000107</v>
      </c>
      <c r="I103">
        <f t="shared" si="18"/>
        <v>-125.48448200000033</v>
      </c>
      <c r="J103">
        <f t="shared" si="22"/>
        <v>-46.274482000000219</v>
      </c>
      <c r="K103">
        <f t="shared" si="23"/>
        <v>314.81500000000017</v>
      </c>
      <c r="L103">
        <f t="shared" si="32"/>
        <v>70.515517999999673</v>
      </c>
      <c r="M103">
        <f t="shared" si="25"/>
        <v>0.50026794422288268</v>
      </c>
      <c r="N103">
        <f t="shared" si="27"/>
        <v>192.73071763485507</v>
      </c>
      <c r="O103">
        <f t="shared" si="28"/>
        <v>157.4918528605269</v>
      </c>
      <c r="P103">
        <f t="shared" si="29"/>
        <v>35.238864774328157</v>
      </c>
      <c r="Q103">
        <f t="shared" si="30"/>
        <v>192.73071763485507</v>
      </c>
      <c r="R103" s="4"/>
    </row>
    <row r="104" spans="2:18" x14ac:dyDescent="0.3">
      <c r="B104">
        <f t="shared" si="31"/>
        <v>0.90000000000000058</v>
      </c>
      <c r="C104">
        <f t="shared" si="19"/>
        <v>1.5011822567370103E-3</v>
      </c>
      <c r="D104" s="6">
        <f t="shared" si="17"/>
        <v>0.6428571428571429</v>
      </c>
      <c r="E104" s="6">
        <f t="shared" si="26"/>
        <v>0.5</v>
      </c>
      <c r="F104" s="8">
        <f t="shared" si="20"/>
        <v>0.40500000000000053</v>
      </c>
      <c r="G104" s="8">
        <f t="shared" si="21"/>
        <v>-0.65610000000000168</v>
      </c>
      <c r="H104">
        <f t="shared" si="18"/>
        <v>81.000000000000099</v>
      </c>
      <c r="I104">
        <f t="shared" si="18"/>
        <v>-131.22000000000034</v>
      </c>
      <c r="J104">
        <f t="shared" si="22"/>
        <v>-50.22000000000024</v>
      </c>
      <c r="K104">
        <f t="shared" si="23"/>
        <v>317.50000000000011</v>
      </c>
      <c r="L104">
        <f t="shared" si="32"/>
        <v>64.77999999999966</v>
      </c>
      <c r="M104">
        <f t="shared" si="25"/>
        <v>0.50021920300374811</v>
      </c>
      <c r="N104">
        <f t="shared" si="27"/>
        <v>191.19539698310712</v>
      </c>
      <c r="O104">
        <f t="shared" si="28"/>
        <v>158.81959695369008</v>
      </c>
      <c r="P104">
        <f t="shared" si="29"/>
        <v>32.375800029417029</v>
      </c>
      <c r="Q104">
        <f t="shared" si="30"/>
        <v>191.19539698310712</v>
      </c>
      <c r="R104" s="4"/>
    </row>
    <row r="105" spans="2:18" x14ac:dyDescent="0.3">
      <c r="B105">
        <f t="shared" si="31"/>
        <v>0.91000000000000059</v>
      </c>
      <c r="C105">
        <f t="shared" si="19"/>
        <v>1.2293986212773556E-3</v>
      </c>
      <c r="D105" s="6">
        <f t="shared" si="17"/>
        <v>0.6428571428571429</v>
      </c>
      <c r="E105" s="6">
        <f t="shared" si="26"/>
        <v>0.5</v>
      </c>
      <c r="F105" s="8">
        <f t="shared" si="20"/>
        <v>0.41405000000000053</v>
      </c>
      <c r="G105" s="8">
        <f t="shared" si="21"/>
        <v>-0.68574961000000179</v>
      </c>
      <c r="H105">
        <f t="shared" si="18"/>
        <v>82.810000000000102</v>
      </c>
      <c r="I105">
        <f t="shared" si="18"/>
        <v>-137.14992200000034</v>
      </c>
      <c r="J105">
        <f t="shared" si="22"/>
        <v>-54.339922000000243</v>
      </c>
      <c r="K105">
        <f t="shared" si="23"/>
        <v>320.21500000000015</v>
      </c>
      <c r="L105">
        <f t="shared" si="32"/>
        <v>58.850077999999655</v>
      </c>
      <c r="M105">
        <f t="shared" si="25"/>
        <v>0.50017932699222456</v>
      </c>
      <c r="N105">
        <f t="shared" si="27"/>
        <v>189.57940878533515</v>
      </c>
      <c r="O105">
        <f t="shared" si="28"/>
        <v>160.16492319281525</v>
      </c>
      <c r="P105">
        <f t="shared" si="29"/>
        <v>29.414485592519906</v>
      </c>
      <c r="Q105">
        <f t="shared" si="30"/>
        <v>189.57940878533515</v>
      </c>
      <c r="R105" s="4"/>
    </row>
    <row r="106" spans="2:18" x14ac:dyDescent="0.3">
      <c r="B106">
        <f t="shared" si="31"/>
        <v>0.9200000000000006</v>
      </c>
      <c r="C106">
        <f t="shared" si="19"/>
        <v>1.0067708200856007E-3</v>
      </c>
      <c r="D106" s="6">
        <f t="shared" si="17"/>
        <v>0.6428571428571429</v>
      </c>
      <c r="E106" s="6">
        <f t="shared" si="26"/>
        <v>0.5</v>
      </c>
      <c r="F106" s="8">
        <f t="shared" si="20"/>
        <v>0.42320000000000052</v>
      </c>
      <c r="G106" s="8">
        <f t="shared" si="21"/>
        <v>-0.71639296000000174</v>
      </c>
      <c r="H106">
        <f t="shared" si="18"/>
        <v>84.6400000000001</v>
      </c>
      <c r="I106">
        <f t="shared" si="18"/>
        <v>-143.27859200000034</v>
      </c>
      <c r="J106">
        <f t="shared" si="22"/>
        <v>-58.638592000000244</v>
      </c>
      <c r="K106">
        <f t="shared" si="23"/>
        <v>322.96000000000015</v>
      </c>
      <c r="L106">
        <f t="shared" si="32"/>
        <v>52.721407999999656</v>
      </c>
      <c r="M106">
        <f t="shared" si="25"/>
        <v>0.50014670520308357</v>
      </c>
      <c r="N106">
        <f t="shared" si="27"/>
        <v>187.88034940752027</v>
      </c>
      <c r="O106">
        <f t="shared" si="28"/>
        <v>161.52737991238794</v>
      </c>
      <c r="P106">
        <f t="shared" si="29"/>
        <v>26.352969495132335</v>
      </c>
      <c r="Q106">
        <f t="shared" si="30"/>
        <v>187.88034940752027</v>
      </c>
      <c r="R106" s="4"/>
    </row>
    <row r="107" spans="2:18" x14ac:dyDescent="0.3">
      <c r="B107">
        <f t="shared" si="31"/>
        <v>0.9300000000000006</v>
      </c>
      <c r="C107">
        <f t="shared" si="19"/>
        <v>8.2442468639831734E-4</v>
      </c>
      <c r="D107" s="6">
        <f t="shared" si="17"/>
        <v>0.6428571428571429</v>
      </c>
      <c r="E107" s="6">
        <f t="shared" si="26"/>
        <v>0.5</v>
      </c>
      <c r="F107" s="8">
        <f t="shared" si="20"/>
        <v>0.43245000000000056</v>
      </c>
      <c r="G107" s="8">
        <f t="shared" si="21"/>
        <v>-0.74805201000000188</v>
      </c>
      <c r="H107">
        <f t="shared" si="18"/>
        <v>86.490000000000109</v>
      </c>
      <c r="I107">
        <f t="shared" si="18"/>
        <v>-149.61040200000036</v>
      </c>
      <c r="J107">
        <f t="shared" si="22"/>
        <v>-63.120402000000254</v>
      </c>
      <c r="K107">
        <f t="shared" si="23"/>
        <v>325.73500000000013</v>
      </c>
      <c r="L107">
        <f t="shared" si="32"/>
        <v>46.389597999999637</v>
      </c>
      <c r="M107">
        <f t="shared" si="25"/>
        <v>0.50012001869099421</v>
      </c>
      <c r="N107">
        <f t="shared" si="27"/>
        <v>186.09582566948316</v>
      </c>
      <c r="O107">
        <f t="shared" si="28"/>
        <v>162.90659428831106</v>
      </c>
      <c r="P107">
        <f t="shared" si="29"/>
        <v>23.18923138117211</v>
      </c>
      <c r="Q107">
        <f t="shared" si="30"/>
        <v>186.09582566948316</v>
      </c>
      <c r="R107" s="4"/>
    </row>
    <row r="108" spans="2:18" x14ac:dyDescent="0.3">
      <c r="B108">
        <f t="shared" si="31"/>
        <v>0.94000000000000061</v>
      </c>
      <c r="C108">
        <f t="shared" si="19"/>
        <v>6.7508273063277002E-4</v>
      </c>
      <c r="D108" s="6">
        <f t="shared" si="17"/>
        <v>0.6428571428571429</v>
      </c>
      <c r="E108" s="6">
        <f t="shared" si="26"/>
        <v>0.5</v>
      </c>
      <c r="F108" s="8">
        <f t="shared" si="20"/>
        <v>0.44180000000000058</v>
      </c>
      <c r="G108" s="8">
        <f t="shared" si="21"/>
        <v>-0.78074896000000205</v>
      </c>
      <c r="H108">
        <f t="shared" si="18"/>
        <v>88.360000000000113</v>
      </c>
      <c r="I108">
        <f t="shared" si="18"/>
        <v>-156.14979200000042</v>
      </c>
      <c r="J108">
        <f t="shared" si="22"/>
        <v>-67.789792000000304</v>
      </c>
      <c r="K108">
        <f t="shared" si="23"/>
        <v>328.54000000000019</v>
      </c>
      <c r="L108">
        <f t="shared" si="32"/>
        <v>39.850207999999583</v>
      </c>
      <c r="M108">
        <f t="shared" si="25"/>
        <v>0.50009818789430427</v>
      </c>
      <c r="N108">
        <f t="shared" si="27"/>
        <v>184.22344984278351</v>
      </c>
      <c r="O108">
        <f t="shared" si="28"/>
        <v>164.30225865079481</v>
      </c>
      <c r="P108">
        <f t="shared" si="29"/>
        <v>19.921191191988683</v>
      </c>
      <c r="Q108">
        <f t="shared" si="30"/>
        <v>184.22344984278351</v>
      </c>
      <c r="R108" s="4"/>
    </row>
    <row r="109" spans="2:18" x14ac:dyDescent="0.3">
      <c r="B109">
        <f t="shared" si="31"/>
        <v>0.95000000000000062</v>
      </c>
      <c r="C109">
        <f t="shared" si="19"/>
        <v>5.5277863692360096E-4</v>
      </c>
      <c r="D109" s="6">
        <f t="shared" si="17"/>
        <v>0.6428571428571429</v>
      </c>
      <c r="E109" s="6">
        <f t="shared" si="26"/>
        <v>0.5</v>
      </c>
      <c r="F109" s="8">
        <f t="shared" si="20"/>
        <v>0.4512500000000006</v>
      </c>
      <c r="G109" s="8">
        <f t="shared" si="21"/>
        <v>-0.8145062500000021</v>
      </c>
      <c r="H109">
        <f t="shared" si="18"/>
        <v>90.250000000000114</v>
      </c>
      <c r="I109">
        <f t="shared" si="18"/>
        <v>-162.90125000000043</v>
      </c>
      <c r="J109">
        <f t="shared" si="22"/>
        <v>-72.651250000000317</v>
      </c>
      <c r="K109">
        <f t="shared" si="23"/>
        <v>331.37500000000017</v>
      </c>
      <c r="L109">
        <f t="shared" si="32"/>
        <v>33.098749999999569</v>
      </c>
      <c r="M109">
        <f t="shared" si="25"/>
        <v>0.50008032936745339</v>
      </c>
      <c r="N109">
        <f t="shared" si="27"/>
        <v>182.26083534248872</v>
      </c>
      <c r="O109">
        <f t="shared" si="28"/>
        <v>165.71411914413994</v>
      </c>
      <c r="P109">
        <f t="shared" si="29"/>
        <v>16.546716198348786</v>
      </c>
      <c r="Q109">
        <f t="shared" si="30"/>
        <v>182.26083534248872</v>
      </c>
      <c r="R109" s="4"/>
    </row>
    <row r="110" spans="2:18" x14ac:dyDescent="0.3">
      <c r="B110">
        <f t="shared" si="31"/>
        <v>0.96000000000000063</v>
      </c>
      <c r="C110">
        <f t="shared" si="19"/>
        <v>4.5262222324049528E-4</v>
      </c>
      <c r="D110" s="6">
        <f t="shared" si="17"/>
        <v>0.6428571428571429</v>
      </c>
      <c r="E110" s="6">
        <f t="shared" si="26"/>
        <v>0.5</v>
      </c>
      <c r="F110" s="8">
        <f t="shared" si="20"/>
        <v>0.4608000000000006</v>
      </c>
      <c r="G110" s="8">
        <f t="shared" si="21"/>
        <v>-0.84934656000000219</v>
      </c>
      <c r="H110">
        <f t="shared" si="18"/>
        <v>92.160000000000124</v>
      </c>
      <c r="I110">
        <f t="shared" si="18"/>
        <v>-169.86931200000043</v>
      </c>
      <c r="J110">
        <f t="shared" si="22"/>
        <v>-77.70931200000031</v>
      </c>
      <c r="K110">
        <f t="shared" si="23"/>
        <v>334.24000000000018</v>
      </c>
      <c r="L110">
        <f t="shared" si="32"/>
        <v>26.130687999999566</v>
      </c>
      <c r="M110">
        <f t="shared" si="25"/>
        <v>0.50006572026561691</v>
      </c>
      <c r="N110">
        <f t="shared" si="27"/>
        <v>180.20559302582356</v>
      </c>
      <c r="O110">
        <f t="shared" si="28"/>
        <v>167.14196634157989</v>
      </c>
      <c r="P110">
        <f t="shared" si="29"/>
        <v>13.063626684243671</v>
      </c>
      <c r="Q110">
        <f t="shared" si="30"/>
        <v>180.20559302582356</v>
      </c>
      <c r="R110" s="4"/>
    </row>
    <row r="111" spans="2:18" x14ac:dyDescent="0.3">
      <c r="B111">
        <f t="shared" si="31"/>
        <v>0.97000000000000064</v>
      </c>
      <c r="C111">
        <f t="shared" si="19"/>
        <v>3.7060614062645048E-4</v>
      </c>
      <c r="D111" s="6">
        <f t="shared" si="17"/>
        <v>0.6428571428571429</v>
      </c>
      <c r="E111" s="6">
        <f t="shared" si="26"/>
        <v>0.5</v>
      </c>
      <c r="F111" s="8">
        <f t="shared" si="20"/>
        <v>0.47045000000000065</v>
      </c>
      <c r="G111" s="8">
        <f t="shared" si="21"/>
        <v>-0.88529281000000248</v>
      </c>
      <c r="H111">
        <f t="shared" si="18"/>
        <v>94.090000000000131</v>
      </c>
      <c r="I111">
        <f t="shared" si="18"/>
        <v>-177.05856200000051</v>
      </c>
      <c r="J111">
        <f t="shared" si="22"/>
        <v>-82.968562000000375</v>
      </c>
      <c r="K111">
        <f t="shared" si="23"/>
        <v>337.13500000000022</v>
      </c>
      <c r="L111">
        <f t="shared" si="32"/>
        <v>18.941437999999494</v>
      </c>
      <c r="M111">
        <f t="shared" si="25"/>
        <v>0.5000537692172089</v>
      </c>
      <c r="N111">
        <f t="shared" si="27"/>
        <v>178.05532801874949</v>
      </c>
      <c r="O111">
        <f t="shared" si="28"/>
        <v>168.58562748504383</v>
      </c>
      <c r="P111">
        <f t="shared" si="29"/>
        <v>9.4697005337056765</v>
      </c>
      <c r="Q111">
        <f t="shared" si="30"/>
        <v>178.05532801874949</v>
      </c>
      <c r="R111" s="4"/>
    </row>
    <row r="112" spans="2:18" x14ac:dyDescent="0.3">
      <c r="B112">
        <f t="shared" si="31"/>
        <v>0.98000000000000065</v>
      </c>
      <c r="C112">
        <f t="shared" si="19"/>
        <v>3.03447030028825E-4</v>
      </c>
      <c r="D112" s="6">
        <f t="shared" si="17"/>
        <v>0.6428571428571429</v>
      </c>
      <c r="E112" s="6">
        <f t="shared" si="26"/>
        <v>0.5</v>
      </c>
      <c r="F112" s="8">
        <f t="shared" si="20"/>
        <v>0.48020000000000063</v>
      </c>
      <c r="G112" s="8">
        <f t="shared" si="21"/>
        <v>-0.92236816000000243</v>
      </c>
      <c r="H112">
        <f t="shared" si="18"/>
        <v>96.04000000000012</v>
      </c>
      <c r="I112">
        <f t="shared" si="18"/>
        <v>-184.47363200000049</v>
      </c>
      <c r="J112">
        <f t="shared" si="22"/>
        <v>-88.433632000000372</v>
      </c>
      <c r="K112">
        <f t="shared" si="23"/>
        <v>340.06000000000017</v>
      </c>
      <c r="L112">
        <f t="shared" si="32"/>
        <v>11.526367999999508</v>
      </c>
      <c r="M112">
        <f t="shared" si="25"/>
        <v>0.50004399245133146</v>
      </c>
      <c r="N112">
        <f t="shared" si="27"/>
        <v>175.80763699981634</v>
      </c>
      <c r="O112">
        <f t="shared" si="28"/>
        <v>170.04496007299986</v>
      </c>
      <c r="P112">
        <f t="shared" si="29"/>
        <v>5.7626769268164857</v>
      </c>
      <c r="Q112">
        <f t="shared" si="30"/>
        <v>175.80763699981634</v>
      </c>
      <c r="R112" s="4"/>
    </row>
    <row r="113" spans="2:18" x14ac:dyDescent="0.3">
      <c r="B113">
        <f t="shared" si="31"/>
        <v>0.99000000000000066</v>
      </c>
      <c r="C113">
        <f t="shared" si="19"/>
        <v>2.4845508183946041E-4</v>
      </c>
      <c r="D113" s="6">
        <f t="shared" si="17"/>
        <v>0.6428571428571429</v>
      </c>
      <c r="E113" s="6">
        <f t="shared" si="26"/>
        <v>0.5</v>
      </c>
      <c r="F113" s="8">
        <f t="shared" si="20"/>
        <v>0.49005000000000065</v>
      </c>
      <c r="G113" s="8">
        <f t="shared" si="21"/>
        <v>-0.96059601000000261</v>
      </c>
      <c r="H113">
        <f t="shared" si="18"/>
        <v>98.010000000000133</v>
      </c>
      <c r="I113">
        <f t="shared" si="18"/>
        <v>-192.11920200000051</v>
      </c>
      <c r="J113">
        <f t="shared" si="22"/>
        <v>-94.10920200000038</v>
      </c>
      <c r="K113">
        <f t="shared" si="23"/>
        <v>343.01500000000021</v>
      </c>
      <c r="L113">
        <f t="shared" si="32"/>
        <v>3.880797999999487</v>
      </c>
      <c r="M113">
        <f t="shared" si="25"/>
        <v>0.50003599424250056</v>
      </c>
      <c r="N113">
        <f t="shared" si="27"/>
        <v>173.46010587870686</v>
      </c>
      <c r="O113">
        <f t="shared" si="28"/>
        <v>171.51984656509143</v>
      </c>
      <c r="P113">
        <f t="shared" si="29"/>
        <v>1.9402593136154358</v>
      </c>
      <c r="Q113">
        <f t="shared" si="30"/>
        <v>173.46010587870686</v>
      </c>
      <c r="R113" s="4"/>
    </row>
    <row r="114" spans="2:18" x14ac:dyDescent="0.3">
      <c r="B114">
        <f t="shared" si="31"/>
        <v>1.0000000000000007</v>
      </c>
      <c r="C114">
        <f t="shared" si="19"/>
        <v>2.0342697805519894E-4</v>
      </c>
      <c r="D114" s="6">
        <f t="shared" si="17"/>
        <v>0.6428571428571429</v>
      </c>
      <c r="E114" s="6">
        <f t="shared" si="26"/>
        <v>0.5</v>
      </c>
      <c r="F114" s="8">
        <f t="shared" si="20"/>
        <v>0.50000000000000067</v>
      </c>
      <c r="G114" s="8">
        <f t="shared" si="21"/>
        <v>-1.0000000000000027</v>
      </c>
      <c r="H114">
        <f t="shared" si="18"/>
        <v>100.00000000000013</v>
      </c>
      <c r="I114">
        <f t="shared" si="18"/>
        <v>-200.00000000000054</v>
      </c>
      <c r="J114">
        <f t="shared" si="22"/>
        <v>-100.00000000000041</v>
      </c>
      <c r="K114">
        <f t="shared" si="23"/>
        <v>346.00000000000023</v>
      </c>
      <c r="L114">
        <f t="shared" si="32"/>
        <v>-4.00000000000054</v>
      </c>
      <c r="M114">
        <f t="shared" si="25"/>
        <v>0.50002945089857131</v>
      </c>
      <c r="N114">
        <f t="shared" si="27"/>
        <v>171.01030781449981</v>
      </c>
      <c r="O114">
        <f t="shared" si="28"/>
        <v>173.0101900109058</v>
      </c>
      <c r="P114">
        <f t="shared" si="29"/>
        <v>-1.9998821964059847</v>
      </c>
      <c r="Q114">
        <f t="shared" si="30"/>
        <v>171.01030781449981</v>
      </c>
      <c r="R114" s="7"/>
    </row>
    <row r="115" spans="2:18" x14ac:dyDescent="0.3">
      <c r="D115" s="6"/>
      <c r="E115" s="6"/>
    </row>
    <row r="116" spans="2:18" x14ac:dyDescent="0.3">
      <c r="D116" s="6"/>
      <c r="E116" s="6"/>
    </row>
    <row r="117" spans="2:18" x14ac:dyDescent="0.3">
      <c r="D117" s="6"/>
      <c r="E117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E1026-9195-4ED6-BBDA-703F970AC01B}">
  <dimension ref="B1:R117"/>
  <sheetViews>
    <sheetView zoomScaleNormal="100" workbookViewId="0">
      <pane ySplit="1" topLeftCell="A2" activePane="bottomLeft" state="frozen"/>
      <selection pane="bottomLeft" activeCell="P15" sqref="P15"/>
    </sheetView>
  </sheetViews>
  <sheetFormatPr baseColWidth="10" defaultColWidth="11.44140625" defaultRowHeight="14.4" x14ac:dyDescent="0.3"/>
  <cols>
    <col min="4" max="4" width="13.88671875" style="1" bestFit="1" customWidth="1"/>
    <col min="5" max="5" width="20.109375" style="1" bestFit="1" customWidth="1"/>
    <col min="7" max="7" width="14.109375" customWidth="1"/>
    <col min="10" max="10" width="18.88671875" customWidth="1"/>
    <col min="13" max="13" width="14.109375" bestFit="1" customWidth="1"/>
    <col min="14" max="14" width="13.44140625" bestFit="1" customWidth="1"/>
    <col min="18" max="18" width="15.44140625" bestFit="1" customWidth="1"/>
  </cols>
  <sheetData>
    <row r="1" spans="2:18" x14ac:dyDescent="0.3">
      <c r="C1" s="2" t="s">
        <v>7</v>
      </c>
      <c r="D1" s="5" t="s">
        <v>8</v>
      </c>
      <c r="E1" s="5" t="s">
        <v>9</v>
      </c>
      <c r="F1" s="2" t="s">
        <v>10</v>
      </c>
      <c r="G1" s="2" t="s">
        <v>11</v>
      </c>
      <c r="H1" s="2" t="s">
        <v>20</v>
      </c>
      <c r="I1" s="2" t="s">
        <v>21</v>
      </c>
      <c r="J1" s="2" t="s">
        <v>23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15</v>
      </c>
    </row>
    <row r="2" spans="2:18" x14ac:dyDescent="0.3">
      <c r="C2" s="2"/>
      <c r="D2" s="5"/>
      <c r="E2" s="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2:18" x14ac:dyDescent="0.3">
      <c r="B3" s="11" t="s">
        <v>24</v>
      </c>
      <c r="C3" s="11" t="s">
        <v>25</v>
      </c>
      <c r="D3" s="11" t="s">
        <v>26</v>
      </c>
      <c r="E3" s="11" t="s">
        <v>27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8" x14ac:dyDescent="0.3">
      <c r="B4" s="12">
        <v>10</v>
      </c>
      <c r="C4" s="12">
        <v>50</v>
      </c>
      <c r="D4" s="12">
        <v>10</v>
      </c>
      <c r="E4" s="12">
        <v>50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2:18" x14ac:dyDescent="0.3">
      <c r="B5" s="12"/>
      <c r="C5" s="12"/>
      <c r="D5" s="12"/>
      <c r="E5" s="1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8" x14ac:dyDescent="0.3">
      <c r="B6" s="10" t="s">
        <v>0</v>
      </c>
      <c r="C6" s="10" t="s">
        <v>1</v>
      </c>
      <c r="D6" s="10" t="s">
        <v>2</v>
      </c>
      <c r="E6" s="10" t="s">
        <v>3</v>
      </c>
      <c r="F6" s="1" t="s">
        <v>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8" x14ac:dyDescent="0.3">
      <c r="B7" s="10">
        <v>10</v>
      </c>
      <c r="C7" s="10">
        <v>0</v>
      </c>
      <c r="D7" s="10">
        <v>0</v>
      </c>
      <c r="E7" s="10">
        <v>0</v>
      </c>
      <c r="F7" s="1">
        <v>200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8" x14ac:dyDescent="0.3">
      <c r="C8" s="2"/>
      <c r="D8" s="5"/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8" x14ac:dyDescent="0.3">
      <c r="B9" s="5" t="s">
        <v>28</v>
      </c>
      <c r="C9" s="5" t="s">
        <v>29</v>
      </c>
      <c r="D9" s="5" t="s">
        <v>30</v>
      </c>
      <c r="E9" s="5" t="s">
        <v>31</v>
      </c>
      <c r="G9" s="5" t="s">
        <v>5</v>
      </c>
      <c r="H9" s="1"/>
      <c r="I9" s="1"/>
      <c r="J9" s="1"/>
      <c r="K9" s="1" t="s">
        <v>6</v>
      </c>
      <c r="M9" s="1" t="s">
        <v>19</v>
      </c>
      <c r="N9" s="1" t="s">
        <v>18</v>
      </c>
    </row>
    <row r="10" spans="2:18" x14ac:dyDescent="0.3">
      <c r="B10" s="5">
        <f>B4+B7</f>
        <v>20</v>
      </c>
      <c r="C10" s="5">
        <f t="shared" ref="C10:E10" si="0">C4+C7</f>
        <v>50</v>
      </c>
      <c r="D10" s="5">
        <f t="shared" si="0"/>
        <v>10</v>
      </c>
      <c r="E10" s="5">
        <f t="shared" si="0"/>
        <v>50</v>
      </c>
      <c r="G10" s="10">
        <f>F7-0.5*D7-E7</f>
        <v>200</v>
      </c>
      <c r="K10" s="1">
        <v>1.5</v>
      </c>
      <c r="M10" s="1">
        <v>0.5</v>
      </c>
      <c r="N10" s="1">
        <v>0.65</v>
      </c>
      <c r="Q10" s="2" t="s">
        <v>22</v>
      </c>
      <c r="R10" s="9">
        <f>MAX(Q14:Q114)</f>
        <v>211.41218779403121</v>
      </c>
    </row>
    <row r="11" spans="2:18" x14ac:dyDescent="0.3">
      <c r="B11" s="1"/>
      <c r="C11" s="1"/>
      <c r="F11" s="1"/>
      <c r="K11" s="1"/>
      <c r="M11" s="1"/>
      <c r="N11" s="1"/>
      <c r="Q11" s="2"/>
      <c r="R11" s="9"/>
    </row>
    <row r="13" spans="2:18" x14ac:dyDescent="0.3">
      <c r="B13" s="2"/>
      <c r="C13" s="2" t="s">
        <v>7</v>
      </c>
      <c r="D13" s="5" t="s">
        <v>8</v>
      </c>
      <c r="E13" s="5" t="s">
        <v>9</v>
      </c>
      <c r="F13" s="2" t="s">
        <v>10</v>
      </c>
      <c r="G13" s="2" t="s">
        <v>11</v>
      </c>
      <c r="H13" s="2" t="s">
        <v>20</v>
      </c>
      <c r="I13" s="2" t="s">
        <v>21</v>
      </c>
      <c r="J13" s="2" t="s">
        <v>23</v>
      </c>
      <c r="K13" s="2" t="s">
        <v>12</v>
      </c>
      <c r="L13" s="2" t="s">
        <v>13</v>
      </c>
      <c r="M13" s="2" t="s">
        <v>14</v>
      </c>
      <c r="N13" s="2" t="s">
        <v>15</v>
      </c>
      <c r="O13" s="2" t="s">
        <v>16</v>
      </c>
      <c r="P13" s="2" t="s">
        <v>17</v>
      </c>
      <c r="Q13" s="2" t="s">
        <v>15</v>
      </c>
    </row>
    <row r="14" spans="2:18" x14ac:dyDescent="0.3">
      <c r="B14">
        <v>0</v>
      </c>
      <c r="C14">
        <f>1-1/(1+EXP(-20*(B14-(($N$10+$M$10)/2))))</f>
        <v>0.99998987000901918</v>
      </c>
      <c r="D14" s="6">
        <f t="shared" ref="D14:D77" si="1">$D$10/($D$10+$B$10)</f>
        <v>0.33333333333333331</v>
      </c>
      <c r="E14" s="6">
        <f>$E$10/($E$10+$C$10)</f>
        <v>0.5</v>
      </c>
      <c r="F14" s="8">
        <f>B14^2*0.5</f>
        <v>0</v>
      </c>
      <c r="G14" s="8">
        <f>-(B14^4)</f>
        <v>0</v>
      </c>
      <c r="H14">
        <f t="shared" ref="H14:I45" si="2">F14*$F$7</f>
        <v>0</v>
      </c>
      <c r="I14">
        <f t="shared" si="2"/>
        <v>0</v>
      </c>
      <c r="J14">
        <f>H14+I14</f>
        <v>0</v>
      </c>
      <c r="K14">
        <f>$G$10+H14*$K$10</f>
        <v>200</v>
      </c>
      <c r="L14">
        <f>$G$10+I14</f>
        <v>200</v>
      </c>
      <c r="M14">
        <f>C14*D14^(1-EXP(-5*B14))+(1-C14)*E14</f>
        <v>0.99999493500450964</v>
      </c>
      <c r="N14" s="3">
        <f>M14*K14+(1-M14)*L14</f>
        <v>200</v>
      </c>
      <c r="O14">
        <f>K14*M14</f>
        <v>199.99898700090193</v>
      </c>
      <c r="P14">
        <f>(1-M14)*L14</f>
        <v>1.0129990980711767E-3</v>
      </c>
      <c r="Q14">
        <f>P14+O14</f>
        <v>200</v>
      </c>
    </row>
    <row r="15" spans="2:18" x14ac:dyDescent="0.3">
      <c r="B15">
        <v>0.01</v>
      </c>
      <c r="C15">
        <f t="shared" ref="C15:C78" si="3">1-1/(1+EXP(-20*(B15-(($N$10+$M$10)/2))))</f>
        <v>0.99998762722882562</v>
      </c>
      <c r="D15" s="6">
        <f>$D$10/($D$10+$B$10)</f>
        <v>0.33333333333333331</v>
      </c>
      <c r="E15" s="6">
        <f>$E$10/($E$10+$C$10)</f>
        <v>0.5</v>
      </c>
      <c r="F15" s="8">
        <f t="shared" ref="F15:F78" si="4">B15^2*0.5</f>
        <v>5.0000000000000002E-5</v>
      </c>
      <c r="G15" s="8">
        <f t="shared" ref="G15:G78" si="5">-(B15^4)</f>
        <v>-1E-8</v>
      </c>
      <c r="H15">
        <f t="shared" si="2"/>
        <v>0.01</v>
      </c>
      <c r="I15">
        <f t="shared" si="2"/>
        <v>-1.9999999999999999E-6</v>
      </c>
      <c r="J15">
        <f t="shared" ref="J15:J78" si="6">H15+I15</f>
        <v>9.9979999999999999E-3</v>
      </c>
      <c r="K15">
        <f t="shared" ref="K15:K78" si="7">$G$10+H15*$K$10</f>
        <v>200.01499999999999</v>
      </c>
      <c r="L15">
        <f>$G$10+I15</f>
        <v>199.99999800000001</v>
      </c>
      <c r="M15">
        <f t="shared" ref="M15:M78" si="8">C15*D15^(1-EXP(-5*B15))+(1-C15)*E15</f>
        <v>0.94782461467046697</v>
      </c>
      <c r="N15">
        <f>M15*K15+(1-M15)*L15</f>
        <v>200.01421726486927</v>
      </c>
      <c r="O15">
        <f>K15*M15</f>
        <v>189.57914030331344</v>
      </c>
      <c r="P15">
        <f>(1-M15)*L15</f>
        <v>10.435076961555836</v>
      </c>
      <c r="Q15">
        <f>P15+O15</f>
        <v>200.01421726486927</v>
      </c>
      <c r="R15" s="4"/>
    </row>
    <row r="16" spans="2:18" x14ac:dyDescent="0.3">
      <c r="B16">
        <f>B15+0.01</f>
        <v>0.02</v>
      </c>
      <c r="C16">
        <f t="shared" si="3"/>
        <v>0.99998488790455897</v>
      </c>
      <c r="D16" s="6">
        <f t="shared" si="1"/>
        <v>0.33333333333333331</v>
      </c>
      <c r="E16" s="6">
        <f t="shared" ref="E16:E79" si="9">$E$10/($E$10+$C$10)</f>
        <v>0.5</v>
      </c>
      <c r="F16" s="8">
        <f t="shared" si="4"/>
        <v>2.0000000000000001E-4</v>
      </c>
      <c r="G16" s="8">
        <f t="shared" si="5"/>
        <v>-1.6E-7</v>
      </c>
      <c r="H16">
        <f t="shared" si="2"/>
        <v>0.04</v>
      </c>
      <c r="I16">
        <f t="shared" si="2"/>
        <v>-3.1999999999999999E-5</v>
      </c>
      <c r="J16">
        <f t="shared" si="6"/>
        <v>3.9968000000000004E-2</v>
      </c>
      <c r="K16">
        <f t="shared" si="7"/>
        <v>200.06</v>
      </c>
      <c r="L16">
        <f t="shared" ref="L16:L79" si="10">$G$10+I16</f>
        <v>199.999968</v>
      </c>
      <c r="M16">
        <f t="shared" si="8"/>
        <v>0.90072660246546477</v>
      </c>
      <c r="N16">
        <f t="shared" ref="N16:N79" si="11">M16*K16+(1-M16)*L16</f>
        <v>200.0540404193992</v>
      </c>
      <c r="O16">
        <f t="shared" ref="O16:O79" si="12">K16*M16</f>
        <v>180.19936408924087</v>
      </c>
      <c r="P16">
        <f t="shared" ref="P16:P79" si="13">(1-M16)*L16</f>
        <v>19.854676330158327</v>
      </c>
      <c r="Q16">
        <f t="shared" ref="Q16:Q79" si="14">P16+O16</f>
        <v>200.0540404193992</v>
      </c>
      <c r="R16" s="4"/>
    </row>
    <row r="17" spans="2:18" x14ac:dyDescent="0.3">
      <c r="B17">
        <f t="shared" ref="B17:B80" si="15">B16+0.01</f>
        <v>0.03</v>
      </c>
      <c r="C17">
        <f t="shared" si="3"/>
        <v>0.99998154210670431</v>
      </c>
      <c r="D17" s="6">
        <f t="shared" si="1"/>
        <v>0.33333333333333331</v>
      </c>
      <c r="E17" s="6">
        <f t="shared" si="9"/>
        <v>0.5</v>
      </c>
      <c r="F17" s="8">
        <f t="shared" si="4"/>
        <v>4.4999999999999999E-4</v>
      </c>
      <c r="G17" s="8">
        <f t="shared" si="5"/>
        <v>-8.0999999999999997E-7</v>
      </c>
      <c r="H17">
        <f t="shared" si="2"/>
        <v>0.09</v>
      </c>
      <c r="I17">
        <f t="shared" si="2"/>
        <v>-1.6200000000000001E-4</v>
      </c>
      <c r="J17">
        <f t="shared" si="6"/>
        <v>8.9838000000000001E-2</v>
      </c>
      <c r="K17">
        <f t="shared" si="7"/>
        <v>200.13499999999999</v>
      </c>
      <c r="L17">
        <f t="shared" si="10"/>
        <v>199.99983800000001</v>
      </c>
      <c r="M17">
        <f t="shared" si="8"/>
        <v>0.85809914572381696</v>
      </c>
      <c r="N17">
        <f t="shared" si="11"/>
        <v>200.11582039673431</v>
      </c>
      <c r="O17">
        <f t="shared" si="12"/>
        <v>171.7356725294361</v>
      </c>
      <c r="P17">
        <f t="shared" si="13"/>
        <v>28.380147867298216</v>
      </c>
      <c r="Q17">
        <f t="shared" si="14"/>
        <v>200.11582039673431</v>
      </c>
      <c r="R17" s="4"/>
    </row>
    <row r="18" spans="2:18" x14ac:dyDescent="0.3">
      <c r="B18">
        <f t="shared" si="15"/>
        <v>0.04</v>
      </c>
      <c r="C18">
        <f t="shared" si="3"/>
        <v>0.99997745557034956</v>
      </c>
      <c r="D18" s="6">
        <f t="shared" si="1"/>
        <v>0.33333333333333331</v>
      </c>
      <c r="E18" s="6">
        <f t="shared" si="9"/>
        <v>0.5</v>
      </c>
      <c r="F18" s="8">
        <f t="shared" si="4"/>
        <v>8.0000000000000004E-4</v>
      </c>
      <c r="G18" s="8">
        <f t="shared" si="5"/>
        <v>-2.5600000000000001E-6</v>
      </c>
      <c r="H18">
        <f t="shared" si="2"/>
        <v>0.16</v>
      </c>
      <c r="I18">
        <f t="shared" si="2"/>
        <v>-5.1199999999999998E-4</v>
      </c>
      <c r="J18">
        <f>H18+I18</f>
        <v>0.15948799999999999</v>
      </c>
      <c r="K18">
        <f t="shared" si="7"/>
        <v>200.24</v>
      </c>
      <c r="L18">
        <f t="shared" si="10"/>
        <v>199.99948800000001</v>
      </c>
      <c r="M18">
        <f t="shared" si="8"/>
        <v>0.81942417537498569</v>
      </c>
      <c r="N18">
        <f t="shared" si="11"/>
        <v>200.1965693472678</v>
      </c>
      <c r="O18">
        <f t="shared" si="12"/>
        <v>164.08149687708715</v>
      </c>
      <c r="P18">
        <f t="shared" si="13"/>
        <v>36.115072470180657</v>
      </c>
      <c r="Q18">
        <f t="shared" si="14"/>
        <v>200.1965693472678</v>
      </c>
      <c r="R18" s="4"/>
    </row>
    <row r="19" spans="2:18" x14ac:dyDescent="0.3">
      <c r="B19">
        <f t="shared" si="15"/>
        <v>0.05</v>
      </c>
      <c r="C19">
        <f t="shared" si="3"/>
        <v>0.99997246430888542</v>
      </c>
      <c r="D19" s="6">
        <f t="shared" si="1"/>
        <v>0.33333333333333331</v>
      </c>
      <c r="E19" s="6">
        <f t="shared" si="9"/>
        <v>0.5</v>
      </c>
      <c r="F19" s="8">
        <f t="shared" si="4"/>
        <v>1.2500000000000002E-3</v>
      </c>
      <c r="G19" s="8">
        <f t="shared" si="5"/>
        <v>-6.2500000000000028E-6</v>
      </c>
      <c r="H19">
        <f t="shared" si="2"/>
        <v>0.25000000000000006</v>
      </c>
      <c r="I19">
        <f t="shared" si="2"/>
        <v>-1.2500000000000007E-3</v>
      </c>
      <c r="J19">
        <f t="shared" si="6"/>
        <v>0.24875000000000005</v>
      </c>
      <c r="K19">
        <f t="shared" si="7"/>
        <v>200.375</v>
      </c>
      <c r="L19">
        <f t="shared" si="10"/>
        <v>199.99875</v>
      </c>
      <c r="M19">
        <f t="shared" si="8"/>
        <v>0.78425413565178814</v>
      </c>
      <c r="N19">
        <f t="shared" si="11"/>
        <v>200.29382561853899</v>
      </c>
      <c r="O19">
        <f t="shared" si="12"/>
        <v>157.14492243122706</v>
      </c>
      <c r="P19">
        <f t="shared" si="13"/>
        <v>43.148903187311937</v>
      </c>
      <c r="Q19">
        <f t="shared" si="14"/>
        <v>200.29382561853899</v>
      </c>
      <c r="R19" s="4"/>
    </row>
    <row r="20" spans="2:18" x14ac:dyDescent="0.3">
      <c r="B20">
        <f t="shared" si="15"/>
        <v>6.0000000000000005E-2</v>
      </c>
      <c r="C20">
        <f t="shared" si="3"/>
        <v>0.99996636803596128</v>
      </c>
      <c r="D20" s="6">
        <f t="shared" si="1"/>
        <v>0.33333333333333331</v>
      </c>
      <c r="E20" s="6">
        <f t="shared" si="9"/>
        <v>0.5</v>
      </c>
      <c r="F20" s="8">
        <f t="shared" si="4"/>
        <v>1.8000000000000004E-3</v>
      </c>
      <c r="G20" s="8">
        <f t="shared" si="5"/>
        <v>-1.2960000000000006E-5</v>
      </c>
      <c r="H20">
        <f t="shared" si="2"/>
        <v>0.3600000000000001</v>
      </c>
      <c r="I20">
        <f t="shared" si="2"/>
        <v>-2.5920000000000014E-3</v>
      </c>
      <c r="J20">
        <f t="shared" si="6"/>
        <v>0.35740800000000011</v>
      </c>
      <c r="K20">
        <f t="shared" si="7"/>
        <v>200.54</v>
      </c>
      <c r="L20">
        <f t="shared" si="10"/>
        <v>199.99740800000001</v>
      </c>
      <c r="M20">
        <f t="shared" si="8"/>
        <v>0.75220110468772505</v>
      </c>
      <c r="N20">
        <f t="shared" si="11"/>
        <v>200.40554630179471</v>
      </c>
      <c r="O20">
        <f t="shared" si="12"/>
        <v>150.84640953407637</v>
      </c>
      <c r="P20">
        <f t="shared" si="13"/>
        <v>49.559136767718343</v>
      </c>
      <c r="Q20">
        <f t="shared" si="14"/>
        <v>200.40554630179471</v>
      </c>
      <c r="R20" s="4"/>
    </row>
    <row r="21" spans="2:18" x14ac:dyDescent="0.3">
      <c r="B21">
        <f t="shared" si="15"/>
        <v>7.0000000000000007E-2</v>
      </c>
      <c r="C21">
        <f t="shared" si="3"/>
        <v>0.99995892213223525</v>
      </c>
      <c r="D21" s="6">
        <f t="shared" si="1"/>
        <v>0.33333333333333331</v>
      </c>
      <c r="E21" s="6">
        <f t="shared" si="9"/>
        <v>0.5</v>
      </c>
      <c r="F21" s="8">
        <f t="shared" si="4"/>
        <v>2.4500000000000004E-3</v>
      </c>
      <c r="G21" s="8">
        <f t="shared" si="5"/>
        <v>-2.4010000000000006E-5</v>
      </c>
      <c r="H21">
        <f t="shared" si="2"/>
        <v>0.49000000000000005</v>
      </c>
      <c r="I21">
        <f t="shared" si="2"/>
        <v>-4.8020000000000007E-3</v>
      </c>
      <c r="J21">
        <f t="shared" si="6"/>
        <v>0.48519800000000002</v>
      </c>
      <c r="K21">
        <f t="shared" si="7"/>
        <v>200.73500000000001</v>
      </c>
      <c r="L21">
        <f t="shared" si="10"/>
        <v>199.99519799999999</v>
      </c>
      <c r="M21">
        <f t="shared" si="8"/>
        <v>0.72292777276964459</v>
      </c>
      <c r="N21">
        <f t="shared" si="11"/>
        <v>200.53002141215055</v>
      </c>
      <c r="O21">
        <f t="shared" si="12"/>
        <v>145.11690646691463</v>
      </c>
      <c r="P21">
        <f t="shared" si="13"/>
        <v>55.413114945235918</v>
      </c>
      <c r="Q21">
        <f t="shared" si="14"/>
        <v>200.53002141215055</v>
      </c>
      <c r="R21" s="4"/>
    </row>
    <row r="22" spans="2:18" x14ac:dyDescent="0.3">
      <c r="B22">
        <f t="shared" si="15"/>
        <v>0.08</v>
      </c>
      <c r="C22">
        <f t="shared" si="3"/>
        <v>0.99994982783531627</v>
      </c>
      <c r="D22" s="6">
        <f t="shared" si="1"/>
        <v>0.33333333333333331</v>
      </c>
      <c r="E22" s="6">
        <f t="shared" si="9"/>
        <v>0.5</v>
      </c>
      <c r="F22" s="8">
        <f t="shared" si="4"/>
        <v>3.2000000000000002E-3</v>
      </c>
      <c r="G22" s="8">
        <f t="shared" si="5"/>
        <v>-4.0960000000000001E-5</v>
      </c>
      <c r="H22">
        <f t="shared" si="2"/>
        <v>0.64</v>
      </c>
      <c r="I22">
        <f t="shared" si="2"/>
        <v>-8.1919999999999996E-3</v>
      </c>
      <c r="J22">
        <f t="shared" si="6"/>
        <v>0.63180800000000004</v>
      </c>
      <c r="K22">
        <f t="shared" si="7"/>
        <v>200.96</v>
      </c>
      <c r="L22">
        <f t="shared" si="10"/>
        <v>199.99180799999999</v>
      </c>
      <c r="M22">
        <f t="shared" si="8"/>
        <v>0.69613993310098099</v>
      </c>
      <c r="N22">
        <f t="shared" si="11"/>
        <v>200.66580511410891</v>
      </c>
      <c r="O22">
        <f t="shared" si="12"/>
        <v>139.89628095597314</v>
      </c>
      <c r="P22">
        <f t="shared" si="13"/>
        <v>60.769524158135759</v>
      </c>
      <c r="Q22">
        <f t="shared" si="14"/>
        <v>200.66580511410891</v>
      </c>
      <c r="R22" s="4"/>
    </row>
    <row r="23" spans="2:18" x14ac:dyDescent="0.3">
      <c r="B23">
        <f t="shared" si="15"/>
        <v>0.09</v>
      </c>
      <c r="C23">
        <f t="shared" si="3"/>
        <v>0.99993872026038344</v>
      </c>
      <c r="D23" s="6">
        <f t="shared" si="1"/>
        <v>0.33333333333333331</v>
      </c>
      <c r="E23" s="6">
        <f t="shared" si="9"/>
        <v>0.5</v>
      </c>
      <c r="F23" s="8">
        <f t="shared" si="4"/>
        <v>4.0499999999999998E-3</v>
      </c>
      <c r="G23" s="8">
        <f t="shared" si="5"/>
        <v>-6.560999999999999E-5</v>
      </c>
      <c r="H23">
        <f t="shared" si="2"/>
        <v>0.80999999999999994</v>
      </c>
      <c r="I23">
        <f t="shared" si="2"/>
        <v>-1.3121999999999998E-2</v>
      </c>
      <c r="J23">
        <f t="shared" si="6"/>
        <v>0.79687799999999998</v>
      </c>
      <c r="K23">
        <f t="shared" si="7"/>
        <v>201.215</v>
      </c>
      <c r="L23">
        <f t="shared" si="10"/>
        <v>199.98687799999999</v>
      </c>
      <c r="M23">
        <f t="shared" si="8"/>
        <v>0.67158020894575321</v>
      </c>
      <c r="N23">
        <f t="shared" si="11"/>
        <v>200.81166042937087</v>
      </c>
      <c r="O23">
        <f t="shared" si="12"/>
        <v>135.13201174301975</v>
      </c>
      <c r="P23">
        <f t="shared" si="13"/>
        <v>65.679648686351143</v>
      </c>
      <c r="Q23">
        <f t="shared" si="14"/>
        <v>200.81166042937087</v>
      </c>
      <c r="R23" s="4"/>
    </row>
    <row r="24" spans="2:18" x14ac:dyDescent="0.3">
      <c r="B24">
        <f t="shared" si="15"/>
        <v>9.9999999999999992E-2</v>
      </c>
      <c r="C24">
        <f t="shared" si="3"/>
        <v>0.99992515377248936</v>
      </c>
      <c r="D24" s="6">
        <f t="shared" si="1"/>
        <v>0.33333333333333331</v>
      </c>
      <c r="E24" s="6">
        <f t="shared" si="9"/>
        <v>0.5</v>
      </c>
      <c r="F24" s="8">
        <f t="shared" si="4"/>
        <v>4.9999999999999992E-3</v>
      </c>
      <c r="G24" s="8">
        <f t="shared" si="5"/>
        <v>-9.9999999999999964E-5</v>
      </c>
      <c r="H24">
        <f t="shared" si="2"/>
        <v>0.99999999999999989</v>
      </c>
      <c r="I24">
        <f t="shared" si="2"/>
        <v>-1.9999999999999993E-2</v>
      </c>
      <c r="J24">
        <f t="shared" si="6"/>
        <v>0.97999999999999987</v>
      </c>
      <c r="K24">
        <f t="shared" si="7"/>
        <v>201.5</v>
      </c>
      <c r="L24">
        <f t="shared" si="10"/>
        <v>199.98</v>
      </c>
      <c r="M24">
        <f t="shared" si="8"/>
        <v>0.64902279533493834</v>
      </c>
      <c r="N24">
        <f t="shared" si="11"/>
        <v>200.96651464890908</v>
      </c>
      <c r="O24">
        <f t="shared" si="12"/>
        <v>130.77809325999007</v>
      </c>
      <c r="P24">
        <f t="shared" si="13"/>
        <v>70.188421388919025</v>
      </c>
      <c r="Q24">
        <f t="shared" si="14"/>
        <v>200.96651464890908</v>
      </c>
      <c r="R24" s="4"/>
    </row>
    <row r="25" spans="2:18" x14ac:dyDescent="0.3">
      <c r="B25">
        <f t="shared" si="15"/>
        <v>0.10999999999999999</v>
      </c>
      <c r="C25">
        <f t="shared" si="3"/>
        <v>0.9999085841261478</v>
      </c>
      <c r="D25" s="6">
        <f t="shared" si="1"/>
        <v>0.33333333333333331</v>
      </c>
      <c r="E25" s="6">
        <f t="shared" si="9"/>
        <v>0.5</v>
      </c>
      <c r="F25" s="8">
        <f t="shared" si="4"/>
        <v>6.049999999999999E-3</v>
      </c>
      <c r="G25" s="8">
        <f t="shared" si="5"/>
        <v>-1.4640999999999995E-4</v>
      </c>
      <c r="H25">
        <f t="shared" si="2"/>
        <v>1.2099999999999997</v>
      </c>
      <c r="I25">
        <f t="shared" si="2"/>
        <v>-2.9281999999999989E-2</v>
      </c>
      <c r="J25">
        <f t="shared" si="6"/>
        <v>1.1807179999999997</v>
      </c>
      <c r="K25">
        <f t="shared" si="7"/>
        <v>201.815</v>
      </c>
      <c r="L25">
        <f t="shared" si="10"/>
        <v>199.97071800000001</v>
      </c>
      <c r="M25">
        <f t="shared" si="8"/>
        <v>0.62826903644243814</v>
      </c>
      <c r="N25">
        <f t="shared" si="11"/>
        <v>201.12942327506812</v>
      </c>
      <c r="O25">
        <f t="shared" si="12"/>
        <v>126.79411558963065</v>
      </c>
      <c r="P25">
        <f t="shared" si="13"/>
        <v>74.335307685437485</v>
      </c>
      <c r="Q25">
        <f t="shared" si="14"/>
        <v>201.12942327506812</v>
      </c>
      <c r="R25" s="4"/>
    </row>
    <row r="26" spans="2:18" x14ac:dyDescent="0.3">
      <c r="B26">
        <f t="shared" si="15"/>
        <v>0.11999999999999998</v>
      </c>
      <c r="C26">
        <f t="shared" si="3"/>
        <v>0.99988834665937043</v>
      </c>
      <c r="D26" s="6">
        <f t="shared" si="1"/>
        <v>0.33333333333333331</v>
      </c>
      <c r="E26" s="6">
        <f t="shared" si="9"/>
        <v>0.5</v>
      </c>
      <c r="F26" s="8">
        <f t="shared" si="4"/>
        <v>7.1999999999999981E-3</v>
      </c>
      <c r="G26" s="8">
        <f t="shared" si="5"/>
        <v>-2.0735999999999988E-4</v>
      </c>
      <c r="H26">
        <f t="shared" si="2"/>
        <v>1.4399999999999995</v>
      </c>
      <c r="I26">
        <f t="shared" si="2"/>
        <v>-4.1471999999999974E-2</v>
      </c>
      <c r="J26">
        <f t="shared" si="6"/>
        <v>1.3985279999999995</v>
      </c>
      <c r="K26">
        <f t="shared" si="7"/>
        <v>202.16</v>
      </c>
      <c r="L26">
        <f t="shared" si="10"/>
        <v>199.958528</v>
      </c>
      <c r="M26">
        <f t="shared" si="8"/>
        <v>0.60914369380799616</v>
      </c>
      <c r="N26">
        <f t="shared" si="11"/>
        <v>201.29954078589486</v>
      </c>
      <c r="O26">
        <f t="shared" si="12"/>
        <v>123.14448914022451</v>
      </c>
      <c r="P26">
        <f t="shared" si="13"/>
        <v>78.155051645670369</v>
      </c>
      <c r="Q26">
        <f t="shared" si="14"/>
        <v>201.29954078589486</v>
      </c>
      <c r="R26" s="4"/>
    </row>
    <row r="27" spans="2:18" x14ac:dyDescent="0.3">
      <c r="B27">
        <f t="shared" si="15"/>
        <v>0.12999999999999998</v>
      </c>
      <c r="C27">
        <f t="shared" si="3"/>
        <v>0.99986362967292053</v>
      </c>
      <c r="D27" s="6">
        <f t="shared" si="1"/>
        <v>0.33333333333333331</v>
      </c>
      <c r="E27" s="6">
        <f t="shared" si="9"/>
        <v>0.5</v>
      </c>
      <c r="F27" s="8">
        <f t="shared" si="4"/>
        <v>8.4499999999999974E-3</v>
      </c>
      <c r="G27" s="8">
        <f t="shared" si="5"/>
        <v>-2.8560999999999984E-4</v>
      </c>
      <c r="H27">
        <f t="shared" si="2"/>
        <v>1.6899999999999995</v>
      </c>
      <c r="I27">
        <f t="shared" si="2"/>
        <v>-5.7121999999999964E-2</v>
      </c>
      <c r="J27">
        <f t="shared" si="6"/>
        <v>1.6328779999999996</v>
      </c>
      <c r="K27">
        <f t="shared" si="7"/>
        <v>202.535</v>
      </c>
      <c r="L27">
        <f t="shared" si="10"/>
        <v>199.94287800000001</v>
      </c>
      <c r="M27">
        <f t="shared" si="8"/>
        <v>0.59149178773800304</v>
      </c>
      <c r="N27">
        <f t="shared" si="11"/>
        <v>201.47609687581502</v>
      </c>
      <c r="O27">
        <f t="shared" si="12"/>
        <v>119.79778922951644</v>
      </c>
      <c r="P27">
        <f t="shared" si="13"/>
        <v>81.678307646298563</v>
      </c>
      <c r="Q27">
        <f t="shared" si="14"/>
        <v>201.47609687581502</v>
      </c>
      <c r="R27" s="4"/>
    </row>
    <row r="28" spans="2:18" x14ac:dyDescent="0.3">
      <c r="B28">
        <f t="shared" si="15"/>
        <v>0.13999999999999999</v>
      </c>
      <c r="C28">
        <f t="shared" si="3"/>
        <v>0.99983344193522261</v>
      </c>
      <c r="D28" s="6">
        <f t="shared" si="1"/>
        <v>0.33333333333333331</v>
      </c>
      <c r="E28" s="6">
        <f t="shared" si="9"/>
        <v>0.5</v>
      </c>
      <c r="F28" s="8">
        <f t="shared" si="4"/>
        <v>9.7999999999999979E-3</v>
      </c>
      <c r="G28" s="8">
        <f t="shared" si="5"/>
        <v>-3.8415999999999982E-4</v>
      </c>
      <c r="H28">
        <f t="shared" si="2"/>
        <v>1.9599999999999995</v>
      </c>
      <c r="I28">
        <f t="shared" si="2"/>
        <v>-7.683199999999997E-2</v>
      </c>
      <c r="J28">
        <f t="shared" si="6"/>
        <v>1.8831679999999995</v>
      </c>
      <c r="K28">
        <f t="shared" si="7"/>
        <v>202.94</v>
      </c>
      <c r="L28">
        <f t="shared" si="10"/>
        <v>199.923168</v>
      </c>
      <c r="M28">
        <f t="shared" si="8"/>
        <v>0.57517591594450235</v>
      </c>
      <c r="N28">
        <f t="shared" si="11"/>
        <v>201.65837710885069</v>
      </c>
      <c r="O28">
        <f t="shared" si="12"/>
        <v>116.7262003817773</v>
      </c>
      <c r="P28">
        <f t="shared" si="13"/>
        <v>84.932176727073383</v>
      </c>
      <c r="Q28">
        <f t="shared" si="14"/>
        <v>201.65837710885069</v>
      </c>
      <c r="R28" s="4"/>
    </row>
    <row r="29" spans="2:18" x14ac:dyDescent="0.3">
      <c r="B29">
        <f t="shared" si="15"/>
        <v>0.15</v>
      </c>
      <c r="C29">
        <f t="shared" si="3"/>
        <v>0.9997965730219448</v>
      </c>
      <c r="D29" s="6">
        <f t="shared" si="1"/>
        <v>0.33333333333333331</v>
      </c>
      <c r="E29" s="6">
        <f t="shared" si="9"/>
        <v>0.5</v>
      </c>
      <c r="F29" s="8">
        <f t="shared" si="4"/>
        <v>1.125E-2</v>
      </c>
      <c r="G29" s="8">
        <f t="shared" si="5"/>
        <v>-5.0624999999999997E-4</v>
      </c>
      <c r="H29">
        <f t="shared" si="2"/>
        <v>2.25</v>
      </c>
      <c r="I29">
        <f t="shared" si="2"/>
        <v>-0.10124999999999999</v>
      </c>
      <c r="J29">
        <f t="shared" si="6"/>
        <v>2.1487500000000002</v>
      </c>
      <c r="K29">
        <f t="shared" si="7"/>
        <v>203.375</v>
      </c>
      <c r="L29">
        <f t="shared" si="10"/>
        <v>199.89875000000001</v>
      </c>
      <c r="M29">
        <f t="shared" si="8"/>
        <v>0.56007397094171063</v>
      </c>
      <c r="N29">
        <f t="shared" si="11"/>
        <v>201.84570714148612</v>
      </c>
      <c r="O29">
        <f t="shared" si="12"/>
        <v>113.90504384027039</v>
      </c>
      <c r="P29">
        <f t="shared" si="13"/>
        <v>87.940663301215722</v>
      </c>
      <c r="Q29">
        <f t="shared" si="14"/>
        <v>201.84570714148612</v>
      </c>
      <c r="R29" s="4"/>
    </row>
    <row r="30" spans="2:18" x14ac:dyDescent="0.3">
      <c r="B30">
        <f t="shared" si="15"/>
        <v>0.16</v>
      </c>
      <c r="C30">
        <f t="shared" si="3"/>
        <v>0.99975154491816065</v>
      </c>
      <c r="D30" s="6">
        <f t="shared" si="1"/>
        <v>0.33333333333333331</v>
      </c>
      <c r="E30" s="6">
        <f t="shared" si="9"/>
        <v>0.5</v>
      </c>
      <c r="F30" s="8">
        <f t="shared" si="4"/>
        <v>1.2800000000000001E-2</v>
      </c>
      <c r="G30" s="8">
        <f t="shared" si="5"/>
        <v>-6.5536000000000001E-4</v>
      </c>
      <c r="H30">
        <f t="shared" si="2"/>
        <v>2.56</v>
      </c>
      <c r="I30">
        <f t="shared" si="2"/>
        <v>-0.13107199999999999</v>
      </c>
      <c r="J30">
        <f t="shared" si="6"/>
        <v>2.428928</v>
      </c>
      <c r="K30">
        <f t="shared" si="7"/>
        <v>203.84</v>
      </c>
      <c r="L30">
        <f t="shared" si="10"/>
        <v>199.86892800000001</v>
      </c>
      <c r="M30">
        <f t="shared" si="8"/>
        <v>0.54607719180399727</v>
      </c>
      <c r="N30">
        <f t="shared" si="11"/>
        <v>202.0374398462115</v>
      </c>
      <c r="O30">
        <f t="shared" si="12"/>
        <v>111.31237477732681</v>
      </c>
      <c r="P30">
        <f t="shared" si="13"/>
        <v>90.725065068884689</v>
      </c>
      <c r="Q30">
        <f t="shared" si="14"/>
        <v>202.0374398462115</v>
      </c>
      <c r="R30" s="4"/>
    </row>
    <row r="31" spans="2:18" x14ac:dyDescent="0.3">
      <c r="B31">
        <f t="shared" si="15"/>
        <v>0.17</v>
      </c>
      <c r="C31">
        <f t="shared" si="3"/>
        <v>0.99969655296997106</v>
      </c>
      <c r="D31" s="6">
        <f t="shared" si="1"/>
        <v>0.33333333333333331</v>
      </c>
      <c r="E31" s="6">
        <f t="shared" si="9"/>
        <v>0.5</v>
      </c>
      <c r="F31" s="8">
        <f t="shared" si="4"/>
        <v>1.4450000000000003E-2</v>
      </c>
      <c r="G31" s="8">
        <f t="shared" si="5"/>
        <v>-8.3521000000000029E-4</v>
      </c>
      <c r="H31">
        <f t="shared" si="2"/>
        <v>2.8900000000000006</v>
      </c>
      <c r="I31">
        <f t="shared" si="2"/>
        <v>-0.16704200000000005</v>
      </c>
      <c r="J31">
        <f t="shared" si="6"/>
        <v>2.7229580000000007</v>
      </c>
      <c r="K31">
        <f t="shared" si="7"/>
        <v>204.33500000000001</v>
      </c>
      <c r="L31">
        <f t="shared" si="10"/>
        <v>199.83295799999999</v>
      </c>
      <c r="M31">
        <f t="shared" si="8"/>
        <v>0.53308849729835428</v>
      </c>
      <c r="N31">
        <f t="shared" si="11"/>
        <v>202.23294480455405</v>
      </c>
      <c r="O31">
        <f t="shared" si="12"/>
        <v>108.92863809545922</v>
      </c>
      <c r="P31">
        <f t="shared" si="13"/>
        <v>93.304306709094845</v>
      </c>
      <c r="Q31">
        <f t="shared" si="14"/>
        <v>202.23294480455405</v>
      </c>
      <c r="R31" s="4"/>
    </row>
    <row r="32" spans="2:18" x14ac:dyDescent="0.3">
      <c r="B32">
        <f t="shared" si="15"/>
        <v>0.18000000000000002</v>
      </c>
      <c r="C32">
        <f t="shared" si="3"/>
        <v>0.99962939385937355</v>
      </c>
      <c r="D32" s="6">
        <f t="shared" si="1"/>
        <v>0.33333333333333331</v>
      </c>
      <c r="E32" s="6">
        <f t="shared" si="9"/>
        <v>0.5</v>
      </c>
      <c r="F32" s="8">
        <f t="shared" si="4"/>
        <v>1.6200000000000003E-2</v>
      </c>
      <c r="G32" s="8">
        <f t="shared" si="5"/>
        <v>-1.0497600000000003E-3</v>
      </c>
      <c r="H32">
        <f t="shared" si="2"/>
        <v>3.2400000000000007</v>
      </c>
      <c r="I32">
        <f t="shared" si="2"/>
        <v>-0.20995200000000006</v>
      </c>
      <c r="J32">
        <f t="shared" si="6"/>
        <v>3.0300480000000007</v>
      </c>
      <c r="K32">
        <f t="shared" si="7"/>
        <v>204.86</v>
      </c>
      <c r="L32">
        <f t="shared" si="10"/>
        <v>199.79004800000001</v>
      </c>
      <c r="M32">
        <f t="shared" si="8"/>
        <v>0.521021056685395</v>
      </c>
      <c r="N32">
        <f t="shared" si="11"/>
        <v>202.43159974838426</v>
      </c>
      <c r="O32">
        <f t="shared" si="12"/>
        <v>106.73637367257002</v>
      </c>
      <c r="P32">
        <f t="shared" si="13"/>
        <v>95.695226075814219</v>
      </c>
      <c r="Q32">
        <f t="shared" si="14"/>
        <v>202.43159974838426</v>
      </c>
      <c r="R32" s="4"/>
    </row>
    <row r="33" spans="2:18" x14ac:dyDescent="0.3">
      <c r="B33">
        <f t="shared" si="15"/>
        <v>0.19000000000000003</v>
      </c>
      <c r="C33">
        <f>1-1/(1+EXP(-20*(B33-(($N$10+$M$10)/2))))</f>
        <v>0.9995473777767595</v>
      </c>
      <c r="D33" s="6">
        <f t="shared" si="1"/>
        <v>0.33333333333333331</v>
      </c>
      <c r="E33" s="6">
        <f t="shared" si="9"/>
        <v>0.5</v>
      </c>
      <c r="F33" s="8">
        <f t="shared" si="4"/>
        <v>1.8050000000000007E-2</v>
      </c>
      <c r="G33" s="8">
        <f t="shared" si="5"/>
        <v>-1.303210000000001E-3</v>
      </c>
      <c r="H33">
        <f t="shared" si="2"/>
        <v>3.6100000000000012</v>
      </c>
      <c r="I33">
        <f t="shared" si="2"/>
        <v>-0.26064200000000021</v>
      </c>
      <c r="J33">
        <f t="shared" si="6"/>
        <v>3.3493580000000009</v>
      </c>
      <c r="K33">
        <f t="shared" si="7"/>
        <v>205.41499999999999</v>
      </c>
      <c r="L33">
        <f t="shared" si="10"/>
        <v>199.73935800000001</v>
      </c>
      <c r="M33">
        <f t="shared" si="8"/>
        <v>0.50979706206664832</v>
      </c>
      <c r="N33">
        <f t="shared" si="11"/>
        <v>202.63278361694208</v>
      </c>
      <c r="O33">
        <f t="shared" si="12"/>
        <v>104.71996350442056</v>
      </c>
      <c r="P33">
        <f t="shared" si="13"/>
        <v>97.912820112521516</v>
      </c>
      <c r="Q33">
        <f t="shared" si="14"/>
        <v>202.63278361694208</v>
      </c>
      <c r="R33" s="4"/>
    </row>
    <row r="34" spans="2:18" x14ac:dyDescent="0.3">
      <c r="B34">
        <f t="shared" si="15"/>
        <v>0.20000000000000004</v>
      </c>
      <c r="C34">
        <f t="shared" si="3"/>
        <v>0.9994472213630764</v>
      </c>
      <c r="D34" s="6">
        <f t="shared" si="1"/>
        <v>0.33333333333333331</v>
      </c>
      <c r="E34" s="6">
        <f t="shared" si="9"/>
        <v>0.5</v>
      </c>
      <c r="F34" s="8">
        <f t="shared" si="4"/>
        <v>2.0000000000000007E-2</v>
      </c>
      <c r="G34" s="8">
        <f t="shared" si="5"/>
        <v>-1.6000000000000012E-3</v>
      </c>
      <c r="H34">
        <f t="shared" si="2"/>
        <v>4.0000000000000018</v>
      </c>
      <c r="I34">
        <f t="shared" si="2"/>
        <v>-0.32000000000000023</v>
      </c>
      <c r="J34">
        <f t="shared" si="6"/>
        <v>3.6800000000000015</v>
      </c>
      <c r="K34">
        <f t="shared" si="7"/>
        <v>206</v>
      </c>
      <c r="L34">
        <f t="shared" si="10"/>
        <v>199.68</v>
      </c>
      <c r="M34">
        <f t="shared" si="8"/>
        <v>0.49934667238292457</v>
      </c>
      <c r="N34">
        <f t="shared" si="11"/>
        <v>202.83587096946007</v>
      </c>
      <c r="O34">
        <f t="shared" si="12"/>
        <v>102.86541451088246</v>
      </c>
      <c r="P34">
        <f t="shared" si="13"/>
        <v>99.97045645857763</v>
      </c>
      <c r="Q34">
        <f t="shared" si="14"/>
        <v>202.83587096946007</v>
      </c>
      <c r="R34" s="4"/>
    </row>
    <row r="35" spans="2:18" x14ac:dyDescent="0.3">
      <c r="B35">
        <f t="shared" si="15"/>
        <v>0.21000000000000005</v>
      </c>
      <c r="C35">
        <f t="shared" si="3"/>
        <v>0.99932491726936712</v>
      </c>
      <c r="D35" s="6">
        <f t="shared" si="1"/>
        <v>0.33333333333333331</v>
      </c>
      <c r="E35" s="6">
        <f t="shared" si="9"/>
        <v>0.5</v>
      </c>
      <c r="F35" s="8">
        <f t="shared" si="4"/>
        <v>2.2050000000000011E-2</v>
      </c>
      <c r="G35" s="8">
        <f t="shared" si="5"/>
        <v>-1.9448100000000019E-3</v>
      </c>
      <c r="H35">
        <f t="shared" si="2"/>
        <v>4.4100000000000019</v>
      </c>
      <c r="I35">
        <f t="shared" si="2"/>
        <v>-0.38896200000000036</v>
      </c>
      <c r="J35">
        <f t="shared" si="6"/>
        <v>4.0210380000000017</v>
      </c>
      <c r="K35">
        <f t="shared" si="7"/>
        <v>206.61500000000001</v>
      </c>
      <c r="L35">
        <f t="shared" si="10"/>
        <v>199.61103800000001</v>
      </c>
      <c r="M35">
        <f t="shared" si="8"/>
        <v>0.48960710430936855</v>
      </c>
      <c r="N35">
        <f t="shared" si="11"/>
        <v>203.04022755351286</v>
      </c>
      <c r="O35">
        <f t="shared" si="12"/>
        <v>101.16017185688018</v>
      </c>
      <c r="P35">
        <f t="shared" si="13"/>
        <v>101.88005569663267</v>
      </c>
      <c r="Q35">
        <f t="shared" si="14"/>
        <v>203.04022755351286</v>
      </c>
      <c r="R35" s="4"/>
    </row>
    <row r="36" spans="2:18" x14ac:dyDescent="0.3">
      <c r="B36">
        <f t="shared" si="15"/>
        <v>0.22000000000000006</v>
      </c>
      <c r="C36">
        <f t="shared" si="3"/>
        <v>0.99917557531360168</v>
      </c>
      <c r="D36" s="6">
        <f t="shared" si="1"/>
        <v>0.33333333333333331</v>
      </c>
      <c r="E36" s="6">
        <f t="shared" si="9"/>
        <v>0.5</v>
      </c>
      <c r="F36" s="8">
        <f t="shared" si="4"/>
        <v>2.4200000000000013E-2</v>
      </c>
      <c r="G36" s="8">
        <f t="shared" si="5"/>
        <v>-2.3425600000000026E-3</v>
      </c>
      <c r="H36">
        <f t="shared" si="2"/>
        <v>4.8400000000000025</v>
      </c>
      <c r="I36">
        <f t="shared" si="2"/>
        <v>-0.46851200000000054</v>
      </c>
      <c r="J36">
        <f t="shared" si="6"/>
        <v>4.371488000000002</v>
      </c>
      <c r="K36">
        <f t="shared" si="7"/>
        <v>207.26</v>
      </c>
      <c r="L36">
        <f t="shared" si="10"/>
        <v>199.531488</v>
      </c>
      <c r="M36">
        <f t="shared" si="8"/>
        <v>0.48052184956345739</v>
      </c>
      <c r="N36">
        <f t="shared" si="11"/>
        <v>203.24520688061338</v>
      </c>
      <c r="O36">
        <f t="shared" si="12"/>
        <v>99.592958540522176</v>
      </c>
      <c r="P36">
        <f t="shared" si="13"/>
        <v>103.65224834009121</v>
      </c>
      <c r="Q36">
        <f t="shared" si="14"/>
        <v>203.24520688061338</v>
      </c>
      <c r="R36" s="4"/>
    </row>
    <row r="37" spans="2:18" x14ac:dyDescent="0.3">
      <c r="B37">
        <f t="shared" si="15"/>
        <v>0.23000000000000007</v>
      </c>
      <c r="C37">
        <f t="shared" si="3"/>
        <v>0.9989932291799144</v>
      </c>
      <c r="D37" s="6">
        <f t="shared" si="1"/>
        <v>0.33333333333333331</v>
      </c>
      <c r="E37" s="6">
        <f t="shared" si="9"/>
        <v>0.5</v>
      </c>
      <c r="F37" s="8">
        <f t="shared" si="4"/>
        <v>2.6450000000000015E-2</v>
      </c>
      <c r="G37" s="8">
        <f t="shared" si="5"/>
        <v>-2.7984100000000033E-3</v>
      </c>
      <c r="H37">
        <f t="shared" si="2"/>
        <v>5.2900000000000027</v>
      </c>
      <c r="I37">
        <f t="shared" si="2"/>
        <v>-0.55968200000000068</v>
      </c>
      <c r="J37">
        <f t="shared" si="6"/>
        <v>4.7303180000000022</v>
      </c>
      <c r="K37">
        <f t="shared" si="7"/>
        <v>207.935</v>
      </c>
      <c r="L37">
        <f t="shared" si="10"/>
        <v>199.44031799999999</v>
      </c>
      <c r="M37">
        <f t="shared" si="8"/>
        <v>0.47204000171605159</v>
      </c>
      <c r="N37">
        <f t="shared" si="11"/>
        <v>203.45014770585732</v>
      </c>
      <c r="O37">
        <f t="shared" si="12"/>
        <v>98.153637756827194</v>
      </c>
      <c r="P37">
        <f t="shared" si="13"/>
        <v>105.29650994903012</v>
      </c>
      <c r="Q37">
        <f t="shared" si="14"/>
        <v>203.45014770585732</v>
      </c>
      <c r="R37" s="4"/>
    </row>
    <row r="38" spans="2:18" x14ac:dyDescent="0.3">
      <c r="B38">
        <f t="shared" si="15"/>
        <v>0.24000000000000007</v>
      </c>
      <c r="C38">
        <f t="shared" si="3"/>
        <v>0.99877060137872253</v>
      </c>
      <c r="D38" s="6">
        <f t="shared" si="1"/>
        <v>0.33333333333333331</v>
      </c>
      <c r="E38" s="6">
        <f t="shared" si="9"/>
        <v>0.5</v>
      </c>
      <c r="F38" s="8">
        <f t="shared" si="4"/>
        <v>2.8800000000000017E-2</v>
      </c>
      <c r="G38" s="8">
        <f t="shared" si="5"/>
        <v>-3.3177600000000038E-3</v>
      </c>
      <c r="H38">
        <f t="shared" si="2"/>
        <v>5.7600000000000033</v>
      </c>
      <c r="I38">
        <f t="shared" si="2"/>
        <v>-0.66355200000000081</v>
      </c>
      <c r="J38">
        <f t="shared" si="6"/>
        <v>5.0964480000000023</v>
      </c>
      <c r="K38">
        <f t="shared" si="7"/>
        <v>208.64000000000001</v>
      </c>
      <c r="L38">
        <f t="shared" si="10"/>
        <v>199.33644799999999</v>
      </c>
      <c r="M38">
        <f t="shared" si="8"/>
        <v>0.46411567861248282</v>
      </c>
      <c r="N38">
        <f t="shared" si="11"/>
        <v>203.65437234998652</v>
      </c>
      <c r="O38">
        <f t="shared" si="12"/>
        <v>96.833095185708416</v>
      </c>
      <c r="P38">
        <f t="shared" si="13"/>
        <v>106.8212771642781</v>
      </c>
      <c r="Q38">
        <f t="shared" si="14"/>
        <v>203.65437234998652</v>
      </c>
      <c r="R38" s="4"/>
    </row>
    <row r="39" spans="2:18" x14ac:dyDescent="0.3">
      <c r="B39">
        <f t="shared" si="15"/>
        <v>0.25000000000000006</v>
      </c>
      <c r="C39">
        <f t="shared" si="3"/>
        <v>0.99849881774326299</v>
      </c>
      <c r="D39" s="6">
        <f t="shared" si="1"/>
        <v>0.33333333333333331</v>
      </c>
      <c r="E39" s="6">
        <f t="shared" si="9"/>
        <v>0.5</v>
      </c>
      <c r="F39" s="8">
        <f t="shared" si="4"/>
        <v>3.1250000000000014E-2</v>
      </c>
      <c r="G39" s="8">
        <f t="shared" si="5"/>
        <v>-3.9062500000000035E-3</v>
      </c>
      <c r="H39">
        <f t="shared" si="2"/>
        <v>6.2500000000000027</v>
      </c>
      <c r="I39">
        <f t="shared" si="2"/>
        <v>-0.78125000000000067</v>
      </c>
      <c r="J39">
        <f t="shared" si="6"/>
        <v>5.4687500000000018</v>
      </c>
      <c r="K39">
        <f t="shared" si="7"/>
        <v>209.375</v>
      </c>
      <c r="L39">
        <f t="shared" si="10"/>
        <v>199.21875</v>
      </c>
      <c r="M39">
        <f t="shared" si="8"/>
        <v>0.45670752908394424</v>
      </c>
      <c r="N39">
        <f t="shared" si="11"/>
        <v>203.85718584225882</v>
      </c>
      <c r="O39">
        <f t="shared" si="12"/>
        <v>95.623138901950824</v>
      </c>
      <c r="P39">
        <f t="shared" si="13"/>
        <v>108.23404694030799</v>
      </c>
      <c r="Q39">
        <f t="shared" si="14"/>
        <v>203.85718584225882</v>
      </c>
      <c r="R39" s="4"/>
    </row>
    <row r="40" spans="2:18" x14ac:dyDescent="0.3">
      <c r="B40">
        <f t="shared" si="15"/>
        <v>0.26000000000000006</v>
      </c>
      <c r="C40">
        <f t="shared" si="3"/>
        <v>0.99816706105750719</v>
      </c>
      <c r="D40" s="6">
        <f t="shared" si="1"/>
        <v>0.33333333333333331</v>
      </c>
      <c r="E40" s="6">
        <f t="shared" si="9"/>
        <v>0.5</v>
      </c>
      <c r="F40" s="8">
        <f t="shared" si="4"/>
        <v>3.3800000000000018E-2</v>
      </c>
      <c r="G40" s="8">
        <f t="shared" si="5"/>
        <v>-4.5697600000000052E-3</v>
      </c>
      <c r="H40">
        <f t="shared" si="2"/>
        <v>6.7600000000000033</v>
      </c>
      <c r="I40">
        <f t="shared" si="2"/>
        <v>-0.91395200000000099</v>
      </c>
      <c r="J40">
        <f t="shared" si="6"/>
        <v>5.8460480000000024</v>
      </c>
      <c r="K40">
        <f t="shared" si="7"/>
        <v>210.14000000000001</v>
      </c>
      <c r="L40">
        <f t="shared" si="10"/>
        <v>199.08604800000001</v>
      </c>
      <c r="M40">
        <f t="shared" si="8"/>
        <v>0.44977831485115899</v>
      </c>
      <c r="N40">
        <f t="shared" si="11"/>
        <v>204.05787590300562</v>
      </c>
      <c r="O40">
        <f t="shared" si="12"/>
        <v>94.516415082822562</v>
      </c>
      <c r="P40">
        <f t="shared" si="13"/>
        <v>109.54146082018306</v>
      </c>
      <c r="Q40">
        <f t="shared" si="14"/>
        <v>204.05787590300562</v>
      </c>
      <c r="R40" s="4"/>
    </row>
    <row r="41" spans="2:18" x14ac:dyDescent="0.3">
      <c r="B41">
        <f t="shared" si="15"/>
        <v>0.27000000000000007</v>
      </c>
      <c r="C41">
        <f t="shared" si="3"/>
        <v>0.99776215147872371</v>
      </c>
      <c r="D41" s="6">
        <f t="shared" si="1"/>
        <v>0.33333333333333331</v>
      </c>
      <c r="E41" s="6">
        <f t="shared" si="9"/>
        <v>0.5</v>
      </c>
      <c r="F41" s="8">
        <f t="shared" si="4"/>
        <v>3.6450000000000017E-2</v>
      </c>
      <c r="G41" s="8">
        <f t="shared" si="5"/>
        <v>-5.3144100000000047E-3</v>
      </c>
      <c r="H41">
        <f t="shared" si="2"/>
        <v>7.2900000000000036</v>
      </c>
      <c r="I41">
        <f t="shared" si="2"/>
        <v>-1.062882000000001</v>
      </c>
      <c r="J41">
        <f t="shared" si="6"/>
        <v>6.2271180000000026</v>
      </c>
      <c r="K41">
        <f t="shared" si="7"/>
        <v>210.935</v>
      </c>
      <c r="L41">
        <f t="shared" si="10"/>
        <v>198.937118</v>
      </c>
      <c r="M41">
        <f t="shared" si="8"/>
        <v>0.44329456046691673</v>
      </c>
      <c r="N41">
        <f t="shared" si="11"/>
        <v>204.25571382772392</v>
      </c>
      <c r="O41">
        <f t="shared" si="12"/>
        <v>93.506338112089082</v>
      </c>
      <c r="P41">
        <f t="shared" si="13"/>
        <v>110.74937571563486</v>
      </c>
      <c r="Q41">
        <f t="shared" si="14"/>
        <v>204.25571382772392</v>
      </c>
      <c r="R41" s="4"/>
    </row>
    <row r="42" spans="2:18" x14ac:dyDescent="0.3">
      <c r="B42">
        <f t="shared" si="15"/>
        <v>0.28000000000000008</v>
      </c>
      <c r="C42">
        <f t="shared" si="3"/>
        <v>0.99726803923698892</v>
      </c>
      <c r="D42" s="6">
        <f t="shared" si="1"/>
        <v>0.33333333333333331</v>
      </c>
      <c r="E42" s="6">
        <f t="shared" si="9"/>
        <v>0.5</v>
      </c>
      <c r="F42" s="8">
        <f t="shared" si="4"/>
        <v>3.920000000000002E-2</v>
      </c>
      <c r="G42" s="8">
        <f t="shared" si="5"/>
        <v>-6.1465600000000058E-3</v>
      </c>
      <c r="H42">
        <f t="shared" si="2"/>
        <v>7.8400000000000043</v>
      </c>
      <c r="I42">
        <f t="shared" si="2"/>
        <v>-1.2293120000000011</v>
      </c>
      <c r="J42">
        <f t="shared" si="6"/>
        <v>6.6106880000000032</v>
      </c>
      <c r="K42">
        <f t="shared" si="7"/>
        <v>211.76000000000002</v>
      </c>
      <c r="L42">
        <f t="shared" si="10"/>
        <v>198.77068800000001</v>
      </c>
      <c r="M42">
        <f t="shared" si="8"/>
        <v>0.4372262658709109</v>
      </c>
      <c r="N42">
        <f t="shared" si="11"/>
        <v>204.44995638199219</v>
      </c>
      <c r="O42">
        <f t="shared" si="12"/>
        <v>92.587034060824095</v>
      </c>
      <c r="P42">
        <f t="shared" si="13"/>
        <v>111.86292232116811</v>
      </c>
      <c r="Q42">
        <f t="shared" si="14"/>
        <v>204.44995638199219</v>
      </c>
      <c r="R42" s="4"/>
    </row>
    <row r="43" spans="2:18" x14ac:dyDescent="0.3">
      <c r="B43">
        <f t="shared" si="15"/>
        <v>0.29000000000000009</v>
      </c>
      <c r="C43">
        <f t="shared" si="3"/>
        <v>0.99666519269258669</v>
      </c>
      <c r="D43" s="6">
        <f t="shared" si="1"/>
        <v>0.33333333333333331</v>
      </c>
      <c r="E43" s="6">
        <f t="shared" si="9"/>
        <v>0.5</v>
      </c>
      <c r="F43" s="8">
        <f t="shared" si="4"/>
        <v>4.2050000000000025E-2</v>
      </c>
      <c r="G43" s="8">
        <f t="shared" si="5"/>
        <v>-7.0728100000000084E-3</v>
      </c>
      <c r="H43">
        <f t="shared" si="2"/>
        <v>8.4100000000000055</v>
      </c>
      <c r="I43">
        <f t="shared" si="2"/>
        <v>-1.4145620000000017</v>
      </c>
      <c r="J43">
        <f t="shared" si="6"/>
        <v>6.9954380000000036</v>
      </c>
      <c r="K43">
        <f t="shared" si="7"/>
        <v>212.61500000000001</v>
      </c>
      <c r="L43">
        <f t="shared" si="10"/>
        <v>198.58543800000001</v>
      </c>
      <c r="M43">
        <f t="shared" si="8"/>
        <v>0.43154667768457045</v>
      </c>
      <c r="N43">
        <f t="shared" si="11"/>
        <v>204.63984887046971</v>
      </c>
      <c r="O43">
        <f t="shared" si="12"/>
        <v>91.753296875904951</v>
      </c>
      <c r="P43">
        <f t="shared" si="13"/>
        <v>112.88655199456475</v>
      </c>
      <c r="Q43">
        <f t="shared" si="14"/>
        <v>204.63984887046971</v>
      </c>
      <c r="R43" s="4"/>
    </row>
    <row r="44" spans="2:18" x14ac:dyDescent="0.3">
      <c r="B44">
        <f t="shared" si="15"/>
        <v>0.3000000000000001</v>
      </c>
      <c r="C44">
        <f t="shared" si="3"/>
        <v>0.99592986228410385</v>
      </c>
      <c r="D44" s="6">
        <f t="shared" si="1"/>
        <v>0.33333333333333331</v>
      </c>
      <c r="E44" s="6">
        <f t="shared" si="9"/>
        <v>0.5</v>
      </c>
      <c r="F44" s="8">
        <f t="shared" si="4"/>
        <v>4.5000000000000033E-2</v>
      </c>
      <c r="G44" s="8">
        <f t="shared" si="5"/>
        <v>-8.1000000000000117E-3</v>
      </c>
      <c r="H44">
        <f t="shared" si="2"/>
        <v>9.0000000000000071</v>
      </c>
      <c r="I44">
        <f t="shared" si="2"/>
        <v>-1.6200000000000023</v>
      </c>
      <c r="J44">
        <f t="shared" si="6"/>
        <v>7.3800000000000043</v>
      </c>
      <c r="K44">
        <f t="shared" si="7"/>
        <v>213.5</v>
      </c>
      <c r="L44">
        <f t="shared" si="10"/>
        <v>198.38</v>
      </c>
      <c r="M44">
        <f t="shared" si="8"/>
        <v>0.42623211678594014</v>
      </c>
      <c r="N44">
        <f t="shared" si="11"/>
        <v>204.82462960580341</v>
      </c>
      <c r="O44">
        <f t="shared" si="12"/>
        <v>91.000556933798222</v>
      </c>
      <c r="P44">
        <f t="shared" si="13"/>
        <v>113.82407267200519</v>
      </c>
      <c r="Q44">
        <f t="shared" si="14"/>
        <v>204.82462960580341</v>
      </c>
      <c r="R44" s="4"/>
    </row>
    <row r="45" spans="2:18" x14ac:dyDescent="0.3">
      <c r="B45">
        <f t="shared" si="15"/>
        <v>0.31000000000000011</v>
      </c>
      <c r="C45">
        <f t="shared" si="3"/>
        <v>0.99503319834994297</v>
      </c>
      <c r="D45" s="6">
        <f t="shared" si="1"/>
        <v>0.33333333333333331</v>
      </c>
      <c r="E45" s="6">
        <f t="shared" si="9"/>
        <v>0.5</v>
      </c>
      <c r="F45" s="8">
        <f t="shared" si="4"/>
        <v>4.8050000000000037E-2</v>
      </c>
      <c r="G45" s="8">
        <f t="shared" si="5"/>
        <v>-9.2352100000000145E-3</v>
      </c>
      <c r="H45">
        <f t="shared" si="2"/>
        <v>9.6100000000000065</v>
      </c>
      <c r="I45">
        <f t="shared" si="2"/>
        <v>-1.847042000000003</v>
      </c>
      <c r="J45">
        <f t="shared" si="6"/>
        <v>7.7629580000000038</v>
      </c>
      <c r="K45">
        <f t="shared" si="7"/>
        <v>214.41500000000002</v>
      </c>
      <c r="L45">
        <f t="shared" si="10"/>
        <v>198.15295799999998</v>
      </c>
      <c r="M45">
        <f t="shared" si="8"/>
        <v>0.42126186098908358</v>
      </c>
      <c r="N45">
        <f t="shared" si="11"/>
        <v>205.00353607640264</v>
      </c>
      <c r="O45">
        <f t="shared" si="12"/>
        <v>90.324861923974368</v>
      </c>
      <c r="P45">
        <f t="shared" si="13"/>
        <v>114.67867415242827</v>
      </c>
      <c r="Q45">
        <f t="shared" si="14"/>
        <v>205.00353607640264</v>
      </c>
      <c r="R45" s="7"/>
    </row>
    <row r="46" spans="2:18" x14ac:dyDescent="0.3">
      <c r="B46">
        <f t="shared" si="15"/>
        <v>0.32000000000000012</v>
      </c>
      <c r="C46">
        <f t="shared" si="3"/>
        <v>0.99394019850841586</v>
      </c>
      <c r="D46" s="6">
        <f t="shared" si="1"/>
        <v>0.33333333333333331</v>
      </c>
      <c r="E46" s="6">
        <f t="shared" si="9"/>
        <v>0.5</v>
      </c>
      <c r="F46" s="8">
        <f t="shared" si="4"/>
        <v>5.1200000000000037E-2</v>
      </c>
      <c r="G46" s="8">
        <f t="shared" si="5"/>
        <v>-1.0485760000000016E-2</v>
      </c>
      <c r="H46">
        <f t="shared" ref="H46:I77" si="16">F46*$F$7</f>
        <v>10.240000000000007</v>
      </c>
      <c r="I46">
        <f t="shared" si="16"/>
        <v>-2.097152000000003</v>
      </c>
      <c r="J46">
        <f t="shared" si="6"/>
        <v>8.1428480000000043</v>
      </c>
      <c r="K46">
        <f t="shared" si="7"/>
        <v>215.36</v>
      </c>
      <c r="L46">
        <f t="shared" si="10"/>
        <v>197.90284800000001</v>
      </c>
      <c r="M46">
        <f t="shared" si="8"/>
        <v>0.41661808280181528</v>
      </c>
      <c r="N46">
        <f t="shared" si="11"/>
        <v>205.17581319741987</v>
      </c>
      <c r="O46">
        <f t="shared" si="12"/>
        <v>89.72287031219895</v>
      </c>
      <c r="P46">
        <f t="shared" si="13"/>
        <v>115.45294288522093</v>
      </c>
      <c r="Q46">
        <f t="shared" si="14"/>
        <v>205.17581319741987</v>
      </c>
      <c r="R46" s="4"/>
    </row>
    <row r="47" spans="2:18" x14ac:dyDescent="0.3">
      <c r="B47">
        <f t="shared" si="15"/>
        <v>0.33000000000000013</v>
      </c>
      <c r="C47">
        <f t="shared" si="3"/>
        <v>0.99260845865571801</v>
      </c>
      <c r="D47" s="6">
        <f t="shared" si="1"/>
        <v>0.33333333333333331</v>
      </c>
      <c r="E47" s="6">
        <f t="shared" si="9"/>
        <v>0.5</v>
      </c>
      <c r="F47" s="8">
        <f t="shared" si="4"/>
        <v>5.445000000000004E-2</v>
      </c>
      <c r="G47" s="8">
        <f t="shared" si="5"/>
        <v>-1.1859210000000018E-2</v>
      </c>
      <c r="H47">
        <f t="shared" si="16"/>
        <v>10.890000000000008</v>
      </c>
      <c r="I47">
        <f t="shared" si="16"/>
        <v>-2.3718420000000036</v>
      </c>
      <c r="J47">
        <f t="shared" si="6"/>
        <v>8.5181580000000032</v>
      </c>
      <c r="K47">
        <f t="shared" si="7"/>
        <v>216.33500000000001</v>
      </c>
      <c r="L47">
        <f t="shared" si="10"/>
        <v>197.62815799999998</v>
      </c>
      <c r="M47">
        <f t="shared" si="8"/>
        <v>0.41228584321430917</v>
      </c>
      <c r="N47">
        <f t="shared" si="11"/>
        <v>205.34072412784684</v>
      </c>
      <c r="O47">
        <f t="shared" si="12"/>
        <v>89.191857891767583</v>
      </c>
      <c r="P47">
        <f t="shared" si="13"/>
        <v>116.14886623607927</v>
      </c>
      <c r="Q47">
        <f t="shared" si="14"/>
        <v>205.34072412784684</v>
      </c>
      <c r="R47" s="4"/>
    </row>
    <row r="48" spans="2:18" x14ac:dyDescent="0.3">
      <c r="B48">
        <f t="shared" si="15"/>
        <v>0.34000000000000014</v>
      </c>
      <c r="C48">
        <f t="shared" si="3"/>
        <v>0.99098670134715217</v>
      </c>
      <c r="D48" s="6">
        <f t="shared" si="1"/>
        <v>0.33333333333333331</v>
      </c>
      <c r="E48" s="6">
        <f t="shared" si="9"/>
        <v>0.5</v>
      </c>
      <c r="F48" s="8">
        <f t="shared" si="4"/>
        <v>5.7800000000000046E-2</v>
      </c>
      <c r="G48" s="8">
        <f t="shared" si="5"/>
        <v>-1.3363360000000022E-2</v>
      </c>
      <c r="H48">
        <f t="shared" si="16"/>
        <v>11.560000000000009</v>
      </c>
      <c r="I48">
        <f t="shared" si="16"/>
        <v>-2.6726720000000044</v>
      </c>
      <c r="J48">
        <f t="shared" si="6"/>
        <v>8.8873280000000054</v>
      </c>
      <c r="K48">
        <f t="shared" si="7"/>
        <v>217.34</v>
      </c>
      <c r="L48">
        <f t="shared" si="10"/>
        <v>197.32732799999999</v>
      </c>
      <c r="M48">
        <f t="shared" si="8"/>
        <v>0.40825314320442696</v>
      </c>
      <c r="N48">
        <f t="shared" si="11"/>
        <v>205.49756424791923</v>
      </c>
      <c r="O48">
        <f t="shared" si="12"/>
        <v>88.72973814405016</v>
      </c>
      <c r="P48">
        <f t="shared" si="13"/>
        <v>116.76782610386907</v>
      </c>
      <c r="Q48">
        <f t="shared" si="14"/>
        <v>205.49756424791923</v>
      </c>
      <c r="R48" s="4"/>
    </row>
    <row r="49" spans="2:18" x14ac:dyDescent="0.3">
      <c r="B49">
        <f t="shared" si="15"/>
        <v>0.35000000000000014</v>
      </c>
      <c r="C49">
        <f t="shared" si="3"/>
        <v>0.98901305736940681</v>
      </c>
      <c r="D49" s="6">
        <f t="shared" si="1"/>
        <v>0.33333333333333331</v>
      </c>
      <c r="E49" s="6">
        <f t="shared" si="9"/>
        <v>0.5</v>
      </c>
      <c r="F49" s="8">
        <f t="shared" si="4"/>
        <v>6.1250000000000047E-2</v>
      </c>
      <c r="G49" s="8">
        <f t="shared" si="5"/>
        <v>-1.5006250000000023E-2</v>
      </c>
      <c r="H49">
        <f t="shared" si="16"/>
        <v>12.250000000000009</v>
      </c>
      <c r="I49">
        <f t="shared" si="16"/>
        <v>-3.0012500000000046</v>
      </c>
      <c r="J49">
        <f t="shared" si="6"/>
        <v>9.2487500000000047</v>
      </c>
      <c r="K49">
        <f t="shared" si="7"/>
        <v>218.375</v>
      </c>
      <c r="L49">
        <f t="shared" si="10"/>
        <v>196.99875</v>
      </c>
      <c r="M49">
        <f t="shared" si="8"/>
        <v>0.4045110350037735</v>
      </c>
      <c r="N49">
        <f t="shared" si="11"/>
        <v>205.64567901199942</v>
      </c>
      <c r="O49">
        <f t="shared" si="12"/>
        <v>88.335097268949042</v>
      </c>
      <c r="P49">
        <f t="shared" si="13"/>
        <v>117.31058174305038</v>
      </c>
      <c r="Q49">
        <f t="shared" si="14"/>
        <v>205.64567901199942</v>
      </c>
      <c r="R49" s="4"/>
    </row>
    <row r="50" spans="2:18" x14ac:dyDescent="0.3">
      <c r="B50">
        <f t="shared" si="15"/>
        <v>0.36000000000000015</v>
      </c>
      <c r="C50">
        <f t="shared" si="3"/>
        <v>0.98661308217233512</v>
      </c>
      <c r="D50" s="6">
        <f t="shared" si="1"/>
        <v>0.33333333333333331</v>
      </c>
      <c r="E50" s="6">
        <f t="shared" si="9"/>
        <v>0.5</v>
      </c>
      <c r="F50" s="8">
        <f t="shared" si="4"/>
        <v>6.4800000000000052E-2</v>
      </c>
      <c r="G50" s="8">
        <f t="shared" si="5"/>
        <v>-1.6796160000000025E-2</v>
      </c>
      <c r="H50">
        <f t="shared" si="16"/>
        <v>12.96000000000001</v>
      </c>
      <c r="I50">
        <f t="shared" si="16"/>
        <v>-3.3592320000000049</v>
      </c>
      <c r="J50">
        <f t="shared" si="6"/>
        <v>9.6007680000000057</v>
      </c>
      <c r="K50">
        <f t="shared" si="7"/>
        <v>219.44000000000003</v>
      </c>
      <c r="L50">
        <f t="shared" si="10"/>
        <v>196.64076800000001</v>
      </c>
      <c r="M50">
        <f t="shared" si="8"/>
        <v>0.4010537949459908</v>
      </c>
      <c r="N50">
        <f t="shared" si="11"/>
        <v>205.78448651545409</v>
      </c>
      <c r="O50">
        <f t="shared" si="12"/>
        <v>88.007244762948233</v>
      </c>
      <c r="P50">
        <f t="shared" si="13"/>
        <v>117.77724175250586</v>
      </c>
      <c r="Q50">
        <f t="shared" si="14"/>
        <v>205.78448651545409</v>
      </c>
      <c r="R50" s="4"/>
    </row>
    <row r="51" spans="2:18" x14ac:dyDescent="0.3">
      <c r="B51">
        <f t="shared" si="15"/>
        <v>0.37000000000000016</v>
      </c>
      <c r="C51">
        <f t="shared" si="3"/>
        <v>0.98369750062855899</v>
      </c>
      <c r="D51" s="6">
        <f t="shared" si="1"/>
        <v>0.33333333333333331</v>
      </c>
      <c r="E51" s="6">
        <f t="shared" si="9"/>
        <v>0.5</v>
      </c>
      <c r="F51" s="8">
        <f t="shared" si="4"/>
        <v>6.8450000000000066E-2</v>
      </c>
      <c r="G51" s="8">
        <f t="shared" si="5"/>
        <v>-1.8741610000000037E-2</v>
      </c>
      <c r="H51">
        <f t="shared" si="16"/>
        <v>13.690000000000014</v>
      </c>
      <c r="I51">
        <f t="shared" si="16"/>
        <v>-3.7483220000000075</v>
      </c>
      <c r="J51">
        <f t="shared" si="6"/>
        <v>9.9416780000000067</v>
      </c>
      <c r="K51">
        <f t="shared" si="7"/>
        <v>220.53500000000003</v>
      </c>
      <c r="L51">
        <f t="shared" si="10"/>
        <v>196.251678</v>
      </c>
      <c r="M51">
        <f t="shared" si="8"/>
        <v>0.39787915860782536</v>
      </c>
      <c r="N51">
        <f t="shared" si="11"/>
        <v>205.91350572556291</v>
      </c>
      <c r="O51">
        <f t="shared" si="12"/>
        <v>87.746280243576777</v>
      </c>
      <c r="P51">
        <f t="shared" si="13"/>
        <v>118.16722548198612</v>
      </c>
      <c r="Q51">
        <f t="shared" si="14"/>
        <v>205.91350572556291</v>
      </c>
      <c r="R51" s="7"/>
    </row>
    <row r="52" spans="2:18" x14ac:dyDescent="0.3">
      <c r="B52">
        <f t="shared" si="15"/>
        <v>0.38000000000000017</v>
      </c>
      <c r="C52">
        <f t="shared" si="3"/>
        <v>0.98015969426592242</v>
      </c>
      <c r="D52" s="6">
        <f t="shared" si="1"/>
        <v>0.33333333333333331</v>
      </c>
      <c r="E52" s="6">
        <f t="shared" si="9"/>
        <v>0.5</v>
      </c>
      <c r="F52" s="8">
        <f t="shared" si="4"/>
        <v>7.220000000000007E-2</v>
      </c>
      <c r="G52" s="8">
        <f t="shared" si="5"/>
        <v>-2.0851360000000041E-2</v>
      </c>
      <c r="H52">
        <f t="shared" si="16"/>
        <v>14.440000000000014</v>
      </c>
      <c r="I52">
        <f t="shared" si="16"/>
        <v>-4.1702720000000078</v>
      </c>
      <c r="J52">
        <f t="shared" si="6"/>
        <v>10.269728000000006</v>
      </c>
      <c r="K52">
        <f t="shared" si="7"/>
        <v>221.66000000000003</v>
      </c>
      <c r="L52">
        <f t="shared" si="10"/>
        <v>195.82972799999999</v>
      </c>
      <c r="M52">
        <f t="shared" si="8"/>
        <v>0.39498861651321893</v>
      </c>
      <c r="N52">
        <f t="shared" si="11"/>
        <v>206.03239140144012</v>
      </c>
      <c r="O52">
        <f t="shared" si="12"/>
        <v>87.553176736320111</v>
      </c>
      <c r="P52">
        <f t="shared" si="13"/>
        <v>118.47921466512003</v>
      </c>
      <c r="Q52">
        <f t="shared" si="14"/>
        <v>206.03239140144012</v>
      </c>
      <c r="R52" s="4"/>
    </row>
    <row r="53" spans="2:18" x14ac:dyDescent="0.3">
      <c r="B53">
        <f t="shared" si="15"/>
        <v>0.39000000000000018</v>
      </c>
      <c r="C53">
        <f t="shared" si="3"/>
        <v>0.97587297858233069</v>
      </c>
      <c r="D53" s="6">
        <f t="shared" si="1"/>
        <v>0.33333333333333331</v>
      </c>
      <c r="E53" s="6">
        <f t="shared" si="9"/>
        <v>0.5</v>
      </c>
      <c r="F53" s="8">
        <f t="shared" si="4"/>
        <v>7.6050000000000076E-2</v>
      </c>
      <c r="G53" s="8">
        <f t="shared" si="5"/>
        <v>-2.3134410000000046E-2</v>
      </c>
      <c r="H53">
        <f t="shared" si="16"/>
        <v>15.210000000000015</v>
      </c>
      <c r="I53">
        <f t="shared" si="16"/>
        <v>-4.626882000000009</v>
      </c>
      <c r="J53">
        <f t="shared" si="6"/>
        <v>10.583118000000006</v>
      </c>
      <c r="K53">
        <f t="shared" si="7"/>
        <v>222.81500000000003</v>
      </c>
      <c r="L53">
        <f t="shared" si="10"/>
        <v>195.37311799999998</v>
      </c>
      <c r="M53">
        <f t="shared" si="8"/>
        <v>0.39238776429697475</v>
      </c>
      <c r="N53">
        <f t="shared" si="11"/>
        <v>206.14097672608139</v>
      </c>
      <c r="O53">
        <f t="shared" si="12"/>
        <v>87.429879701830444</v>
      </c>
      <c r="P53">
        <f t="shared" si="13"/>
        <v>118.71109702425095</v>
      </c>
      <c r="Q53">
        <f t="shared" si="14"/>
        <v>206.14097672608139</v>
      </c>
      <c r="R53" s="4"/>
    </row>
    <row r="54" spans="2:18" x14ac:dyDescent="0.3">
      <c r="B54">
        <f t="shared" si="15"/>
        <v>0.40000000000000019</v>
      </c>
      <c r="C54">
        <f t="shared" si="3"/>
        <v>0.97068776924864353</v>
      </c>
      <c r="D54" s="6">
        <f t="shared" si="1"/>
        <v>0.33333333333333331</v>
      </c>
      <c r="E54" s="6">
        <f t="shared" si="9"/>
        <v>0.5</v>
      </c>
      <c r="F54" s="8">
        <f t="shared" si="4"/>
        <v>8.0000000000000071E-2</v>
      </c>
      <c r="G54" s="8">
        <f t="shared" si="5"/>
        <v>-2.5600000000000046E-2</v>
      </c>
      <c r="H54">
        <f t="shared" si="16"/>
        <v>16.000000000000014</v>
      </c>
      <c r="I54">
        <f t="shared" si="16"/>
        <v>-5.120000000000009</v>
      </c>
      <c r="J54">
        <f t="shared" si="6"/>
        <v>10.880000000000006</v>
      </c>
      <c r="K54">
        <f t="shared" si="7"/>
        <v>224.00000000000003</v>
      </c>
      <c r="L54">
        <f t="shared" si="10"/>
        <v>194.88</v>
      </c>
      <c r="M54">
        <f t="shared" si="8"/>
        <v>0.39008669413095642</v>
      </c>
      <c r="N54">
        <f t="shared" si="11"/>
        <v>206.23932453309345</v>
      </c>
      <c r="O54">
        <f t="shared" si="12"/>
        <v>87.379419485334253</v>
      </c>
      <c r="P54">
        <f t="shared" si="13"/>
        <v>118.85990504775921</v>
      </c>
      <c r="Q54">
        <f t="shared" si="14"/>
        <v>206.23932453309345</v>
      </c>
      <c r="R54" s="4"/>
    </row>
    <row r="55" spans="2:18" x14ac:dyDescent="0.3">
      <c r="B55">
        <f t="shared" si="15"/>
        <v>0.4100000000000002</v>
      </c>
      <c r="C55">
        <f t="shared" si="3"/>
        <v>0.96442881072736364</v>
      </c>
      <c r="D55" s="6">
        <f t="shared" si="1"/>
        <v>0.33333333333333331</v>
      </c>
      <c r="E55" s="6">
        <f t="shared" si="9"/>
        <v>0.5</v>
      </c>
      <c r="F55" s="8">
        <f t="shared" si="4"/>
        <v>8.4050000000000083E-2</v>
      </c>
      <c r="G55" s="8">
        <f t="shared" si="5"/>
        <v>-2.8257610000000054E-2</v>
      </c>
      <c r="H55">
        <f t="shared" si="16"/>
        <v>16.810000000000016</v>
      </c>
      <c r="I55">
        <f t="shared" si="16"/>
        <v>-5.6515220000000106</v>
      </c>
      <c r="J55">
        <f t="shared" si="6"/>
        <v>11.158478000000006</v>
      </c>
      <c r="K55">
        <f t="shared" si="7"/>
        <v>225.21500000000003</v>
      </c>
      <c r="L55">
        <f t="shared" si="10"/>
        <v>194.348478</v>
      </c>
      <c r="M55">
        <f t="shared" si="8"/>
        <v>0.38810040344636915</v>
      </c>
      <c r="N55">
        <f t="shared" si="11"/>
        <v>206.32778764118626</v>
      </c>
      <c r="O55">
        <f t="shared" si="12"/>
        <v>87.406032362174045</v>
      </c>
      <c r="P55">
        <f t="shared" si="13"/>
        <v>118.92175527901222</v>
      </c>
      <c r="Q55">
        <f t="shared" si="14"/>
        <v>206.32778764118626</v>
      </c>
      <c r="R55" s="7"/>
    </row>
    <row r="56" spans="2:18" x14ac:dyDescent="0.3">
      <c r="B56">
        <f t="shared" si="15"/>
        <v>0.42000000000000021</v>
      </c>
      <c r="C56">
        <f t="shared" si="3"/>
        <v>0.95689274505891364</v>
      </c>
      <c r="D56" s="6">
        <f t="shared" si="1"/>
        <v>0.33333333333333331</v>
      </c>
      <c r="E56" s="6">
        <f t="shared" si="9"/>
        <v>0.5</v>
      </c>
      <c r="F56" s="8">
        <f t="shared" si="4"/>
        <v>8.8200000000000084E-2</v>
      </c>
      <c r="G56" s="8">
        <f t="shared" si="5"/>
        <v>-3.1116960000000058E-2</v>
      </c>
      <c r="H56">
        <f t="shared" si="16"/>
        <v>17.640000000000018</v>
      </c>
      <c r="I56">
        <f t="shared" si="16"/>
        <v>-6.223392000000012</v>
      </c>
      <c r="J56">
        <f t="shared" si="6"/>
        <v>11.416608000000007</v>
      </c>
      <c r="K56">
        <f t="shared" si="7"/>
        <v>226.46000000000004</v>
      </c>
      <c r="L56">
        <f t="shared" si="10"/>
        <v>193.77660799999998</v>
      </c>
      <c r="M56">
        <f t="shared" si="8"/>
        <v>0.38644918149698093</v>
      </c>
      <c r="N56">
        <f t="shared" si="11"/>
        <v>206.40707808694498</v>
      </c>
      <c r="O56">
        <f t="shared" si="12"/>
        <v>87.515281641806311</v>
      </c>
      <c r="P56">
        <f t="shared" si="13"/>
        <v>118.89179644513867</v>
      </c>
      <c r="Q56">
        <f t="shared" si="14"/>
        <v>206.40707808694498</v>
      </c>
      <c r="R56" s="7"/>
    </row>
    <row r="57" spans="2:18" x14ac:dyDescent="0.3">
      <c r="B57">
        <f t="shared" si="15"/>
        <v>0.43000000000000022</v>
      </c>
      <c r="C57">
        <f t="shared" si="3"/>
        <v>0.94784643692158199</v>
      </c>
      <c r="D57" s="6">
        <f t="shared" si="1"/>
        <v>0.33333333333333331</v>
      </c>
      <c r="E57" s="6">
        <f t="shared" si="9"/>
        <v>0.5</v>
      </c>
      <c r="F57" s="8">
        <f t="shared" si="4"/>
        <v>9.2450000000000088E-2</v>
      </c>
      <c r="G57" s="8">
        <f t="shared" si="5"/>
        <v>-3.4188010000000067E-2</v>
      </c>
      <c r="H57">
        <f t="shared" si="16"/>
        <v>18.490000000000016</v>
      </c>
      <c r="I57">
        <f t="shared" si="16"/>
        <v>-6.8376020000000137</v>
      </c>
      <c r="J57">
        <f t="shared" si="6"/>
        <v>11.652398000000002</v>
      </c>
      <c r="K57">
        <f t="shared" si="7"/>
        <v>227.73500000000001</v>
      </c>
      <c r="L57">
        <f t="shared" si="10"/>
        <v>193.162398</v>
      </c>
      <c r="M57">
        <f t="shared" si="8"/>
        <v>0.3851589131782433</v>
      </c>
      <c r="N57">
        <f t="shared" si="11"/>
        <v>206.47834381206394</v>
      </c>
      <c r="O57">
        <f t="shared" si="12"/>
        <v>87.714165092647249</v>
      </c>
      <c r="P57">
        <f t="shared" si="13"/>
        <v>118.76417871941671</v>
      </c>
      <c r="Q57">
        <f t="shared" si="14"/>
        <v>206.47834381206394</v>
      </c>
      <c r="R57" s="7"/>
    </row>
    <row r="58" spans="2:18" x14ac:dyDescent="0.3">
      <c r="B58">
        <f t="shared" si="15"/>
        <v>0.44000000000000022</v>
      </c>
      <c r="C58">
        <f t="shared" si="3"/>
        <v>0.93702664394300317</v>
      </c>
      <c r="D58" s="6">
        <f t="shared" si="1"/>
        <v>0.33333333333333331</v>
      </c>
      <c r="E58" s="6">
        <f t="shared" si="9"/>
        <v>0.5</v>
      </c>
      <c r="F58" s="8">
        <f t="shared" si="4"/>
        <v>9.6800000000000094E-2</v>
      </c>
      <c r="G58" s="8">
        <f t="shared" si="5"/>
        <v>-3.748096000000007E-2</v>
      </c>
      <c r="H58">
        <f t="shared" si="16"/>
        <v>19.360000000000017</v>
      </c>
      <c r="I58">
        <f t="shared" si="16"/>
        <v>-7.496192000000014</v>
      </c>
      <c r="J58">
        <f t="shared" si="6"/>
        <v>11.863808000000002</v>
      </c>
      <c r="K58">
        <f t="shared" si="7"/>
        <v>229.04000000000002</v>
      </c>
      <c r="L58">
        <f t="shared" si="10"/>
        <v>192.50380799999999</v>
      </c>
      <c r="M58">
        <f t="shared" si="8"/>
        <v>0.38426121236358701</v>
      </c>
      <c r="N58">
        <f t="shared" si="11"/>
        <v>206.54324943306881</v>
      </c>
      <c r="O58">
        <f t="shared" si="12"/>
        <v>88.011188079755982</v>
      </c>
      <c r="P58">
        <f t="shared" si="13"/>
        <v>118.53206135331281</v>
      </c>
      <c r="Q58">
        <f t="shared" si="14"/>
        <v>206.54324943306881</v>
      </c>
      <c r="R58" s="4"/>
    </row>
    <row r="59" spans="2:18" x14ac:dyDescent="0.3">
      <c r="B59">
        <f t="shared" si="15"/>
        <v>0.45000000000000023</v>
      </c>
      <c r="C59">
        <f t="shared" si="3"/>
        <v>0.92414181997875611</v>
      </c>
      <c r="D59" s="6">
        <f t="shared" si="1"/>
        <v>0.33333333333333331</v>
      </c>
      <c r="E59" s="6">
        <f t="shared" si="9"/>
        <v>0.5</v>
      </c>
      <c r="F59" s="8">
        <f t="shared" si="4"/>
        <v>0.1012500000000001</v>
      </c>
      <c r="G59" s="8">
        <f t="shared" si="5"/>
        <v>-4.1006250000000084E-2</v>
      </c>
      <c r="H59">
        <f t="shared" si="16"/>
        <v>20.250000000000021</v>
      </c>
      <c r="I59">
        <f t="shared" si="16"/>
        <v>-8.2012500000000177</v>
      </c>
      <c r="J59">
        <f t="shared" si="6"/>
        <v>12.048750000000004</v>
      </c>
      <c r="K59">
        <f t="shared" si="7"/>
        <v>230.37500000000003</v>
      </c>
      <c r="L59">
        <f t="shared" si="10"/>
        <v>191.79874999999998</v>
      </c>
      <c r="M59">
        <f t="shared" si="8"/>
        <v>0.38379326471939046</v>
      </c>
      <c r="N59">
        <f t="shared" si="11"/>
        <v>206.6040549281314</v>
      </c>
      <c r="O59">
        <f t="shared" si="12"/>
        <v>88.41637335972959</v>
      </c>
      <c r="P59">
        <f t="shared" si="13"/>
        <v>118.1876815684018</v>
      </c>
      <c r="Q59">
        <f t="shared" si="14"/>
        <v>206.6040549281314</v>
      </c>
      <c r="R59" s="7"/>
    </row>
    <row r="60" spans="2:18" x14ac:dyDescent="0.3">
      <c r="B60">
        <f t="shared" si="15"/>
        <v>0.46000000000000024</v>
      </c>
      <c r="C60">
        <f t="shared" si="3"/>
        <v>0.90887703898514338</v>
      </c>
      <c r="D60" s="6">
        <f t="shared" si="1"/>
        <v>0.33333333333333331</v>
      </c>
      <c r="E60" s="6">
        <f t="shared" si="9"/>
        <v>0.5</v>
      </c>
      <c r="F60" s="8">
        <f t="shared" si="4"/>
        <v>0.10580000000000012</v>
      </c>
      <c r="G60" s="8">
        <f t="shared" si="5"/>
        <v>-4.4774560000000095E-2</v>
      </c>
      <c r="H60">
        <f t="shared" si="16"/>
        <v>21.160000000000025</v>
      </c>
      <c r="I60">
        <f t="shared" si="16"/>
        <v>-8.9549120000000197</v>
      </c>
      <c r="J60">
        <f t="shared" si="6"/>
        <v>12.205088000000005</v>
      </c>
      <c r="K60">
        <f t="shared" si="7"/>
        <v>231.74000000000004</v>
      </c>
      <c r="L60">
        <f t="shared" si="10"/>
        <v>191.04508799999999</v>
      </c>
      <c r="M60">
        <f t="shared" si="8"/>
        <v>0.38379722574413294</v>
      </c>
      <c r="N60">
        <f t="shared" si="11"/>
        <v>206.66368232750165</v>
      </c>
      <c r="O60">
        <f t="shared" si="12"/>
        <v>88.941169093945376</v>
      </c>
      <c r="P60">
        <f t="shared" si="13"/>
        <v>117.72251323355626</v>
      </c>
      <c r="Q60">
        <f t="shared" si="14"/>
        <v>206.66368232750165</v>
      </c>
      <c r="R60" s="7"/>
    </row>
    <row r="61" spans="2:18" x14ac:dyDescent="0.3">
      <c r="B61">
        <f t="shared" si="15"/>
        <v>0.47000000000000025</v>
      </c>
      <c r="C61">
        <f t="shared" si="3"/>
        <v>0.89090317880438652</v>
      </c>
      <c r="D61" s="6">
        <f t="shared" si="1"/>
        <v>0.33333333333333331</v>
      </c>
      <c r="E61" s="6">
        <f t="shared" si="9"/>
        <v>0.5</v>
      </c>
      <c r="F61" s="8">
        <f t="shared" si="4"/>
        <v>0.11045000000000012</v>
      </c>
      <c r="G61" s="8">
        <f t="shared" si="5"/>
        <v>-4.8796810000000107E-2</v>
      </c>
      <c r="H61">
        <f t="shared" si="16"/>
        <v>22.090000000000025</v>
      </c>
      <c r="I61">
        <f t="shared" si="16"/>
        <v>-9.7593620000000207</v>
      </c>
      <c r="J61">
        <f t="shared" si="6"/>
        <v>12.330638000000004</v>
      </c>
      <c r="K61">
        <f t="shared" si="7"/>
        <v>233.13500000000005</v>
      </c>
      <c r="L61">
        <f t="shared" si="10"/>
        <v>190.24063799999999</v>
      </c>
      <c r="M61">
        <f t="shared" si="8"/>
        <v>0.38431899064296926</v>
      </c>
      <c r="N61">
        <f t="shared" si="11"/>
        <v>206.72575590811414</v>
      </c>
      <c r="O61">
        <f t="shared" si="12"/>
        <v>89.598207883548653</v>
      </c>
      <c r="P61">
        <f t="shared" si="13"/>
        <v>117.12754802456548</v>
      </c>
      <c r="Q61">
        <f t="shared" si="14"/>
        <v>206.72575590811414</v>
      </c>
      <c r="R61" s="4"/>
    </row>
    <row r="62" spans="2:18" x14ac:dyDescent="0.3">
      <c r="B62">
        <f t="shared" si="15"/>
        <v>0.48000000000000026</v>
      </c>
      <c r="C62">
        <f t="shared" si="3"/>
        <v>0.86989152563700145</v>
      </c>
      <c r="D62" s="6">
        <f t="shared" si="1"/>
        <v>0.33333333333333331</v>
      </c>
      <c r="E62" s="6">
        <f t="shared" si="9"/>
        <v>0.5</v>
      </c>
      <c r="F62" s="8">
        <f t="shared" si="4"/>
        <v>0.11520000000000012</v>
      </c>
      <c r="G62" s="8">
        <f t="shared" si="5"/>
        <v>-5.3084160000000109E-2</v>
      </c>
      <c r="H62">
        <f t="shared" si="16"/>
        <v>23.040000000000024</v>
      </c>
      <c r="I62">
        <f t="shared" si="16"/>
        <v>-10.616832000000022</v>
      </c>
      <c r="J62">
        <f t="shared" si="6"/>
        <v>12.423168000000002</v>
      </c>
      <c r="K62">
        <f t="shared" si="7"/>
        <v>234.56000000000003</v>
      </c>
      <c r="L62">
        <f t="shared" si="10"/>
        <v>189.38316799999998</v>
      </c>
      <c r="M62">
        <f t="shared" si="8"/>
        <v>0.38540614078136953</v>
      </c>
      <c r="N62">
        <f t="shared" si="11"/>
        <v>206.79459647384829</v>
      </c>
      <c r="O62">
        <f t="shared" si="12"/>
        <v>90.400864381678048</v>
      </c>
      <c r="P62">
        <f t="shared" si="13"/>
        <v>116.39373209217023</v>
      </c>
      <c r="Q62">
        <f t="shared" si="14"/>
        <v>206.79459647384829</v>
      </c>
      <c r="R62" s="7"/>
    </row>
    <row r="63" spans="2:18" x14ac:dyDescent="0.3">
      <c r="B63">
        <f t="shared" si="15"/>
        <v>0.49000000000000027</v>
      </c>
      <c r="C63">
        <f t="shared" si="3"/>
        <v>0.84553473491646447</v>
      </c>
      <c r="D63" s="6">
        <f t="shared" si="1"/>
        <v>0.33333333333333331</v>
      </c>
      <c r="E63" s="6">
        <f t="shared" si="9"/>
        <v>0.5</v>
      </c>
      <c r="F63" s="8">
        <f t="shared" si="4"/>
        <v>0.12005000000000013</v>
      </c>
      <c r="G63" s="8">
        <f t="shared" si="5"/>
        <v>-5.7648010000000124E-2</v>
      </c>
      <c r="H63">
        <f t="shared" si="16"/>
        <v>24.010000000000026</v>
      </c>
      <c r="I63">
        <f t="shared" si="16"/>
        <v>-11.529602000000025</v>
      </c>
      <c r="J63">
        <f t="shared" si="6"/>
        <v>12.480398000000001</v>
      </c>
      <c r="K63">
        <f t="shared" si="7"/>
        <v>236.01500000000004</v>
      </c>
      <c r="L63">
        <f t="shared" si="10"/>
        <v>188.47039799999999</v>
      </c>
      <c r="M63">
        <f t="shared" si="8"/>
        <v>0.38710489484971572</v>
      </c>
      <c r="N63">
        <f t="shared" si="11"/>
        <v>206.8751461578816</v>
      </c>
      <c r="O63">
        <f t="shared" si="12"/>
        <v>91.362561757955675</v>
      </c>
      <c r="P63">
        <f t="shared" si="13"/>
        <v>115.51258439992591</v>
      </c>
      <c r="Q63">
        <f t="shared" si="14"/>
        <v>206.8751461578816</v>
      </c>
      <c r="R63" s="7"/>
    </row>
    <row r="64" spans="2:18" x14ac:dyDescent="0.3">
      <c r="B64">
        <f t="shared" si="15"/>
        <v>0.50000000000000022</v>
      </c>
      <c r="C64">
        <f t="shared" si="3"/>
        <v>0.81757447619364287</v>
      </c>
      <c r="D64" s="6">
        <f t="shared" si="1"/>
        <v>0.33333333333333331</v>
      </c>
      <c r="E64" s="6">
        <f t="shared" si="9"/>
        <v>0.5</v>
      </c>
      <c r="F64" s="8">
        <f t="shared" si="4"/>
        <v>0.12500000000000011</v>
      </c>
      <c r="G64" s="8">
        <f t="shared" si="5"/>
        <v>-6.2500000000000111E-2</v>
      </c>
      <c r="H64">
        <f t="shared" si="16"/>
        <v>25.000000000000021</v>
      </c>
      <c r="I64">
        <f t="shared" si="16"/>
        <v>-12.500000000000021</v>
      </c>
      <c r="J64">
        <f t="shared" si="6"/>
        <v>12.5</v>
      </c>
      <c r="K64">
        <f t="shared" si="7"/>
        <v>237.50000000000003</v>
      </c>
      <c r="L64">
        <f t="shared" si="10"/>
        <v>187.49999999999997</v>
      </c>
      <c r="M64">
        <f t="shared" si="8"/>
        <v>0.38945597367823659</v>
      </c>
      <c r="N64">
        <f t="shared" si="11"/>
        <v>206.97279868391183</v>
      </c>
      <c r="O64">
        <f t="shared" si="12"/>
        <v>92.495793748581207</v>
      </c>
      <c r="P64">
        <f t="shared" si="13"/>
        <v>114.47700493533063</v>
      </c>
      <c r="Q64">
        <f t="shared" si="14"/>
        <v>206.97279868391183</v>
      </c>
      <c r="R64" s="7"/>
    </row>
    <row r="65" spans="2:18" x14ac:dyDescent="0.3">
      <c r="B65">
        <f t="shared" si="15"/>
        <v>0.51000000000000023</v>
      </c>
      <c r="C65">
        <f t="shared" si="3"/>
        <v>0.78583498304255772</v>
      </c>
      <c r="D65" s="6">
        <f t="shared" si="1"/>
        <v>0.33333333333333331</v>
      </c>
      <c r="E65" s="6">
        <f t="shared" si="9"/>
        <v>0.5</v>
      </c>
      <c r="F65" s="8">
        <f t="shared" si="4"/>
        <v>0.13005000000000011</v>
      </c>
      <c r="G65" s="8">
        <f t="shared" si="5"/>
        <v>-6.765201000000011E-2</v>
      </c>
      <c r="H65">
        <f t="shared" si="16"/>
        <v>26.010000000000023</v>
      </c>
      <c r="I65">
        <f t="shared" si="16"/>
        <v>-13.530402000000022</v>
      </c>
      <c r="J65">
        <f t="shared" si="6"/>
        <v>12.479598000000001</v>
      </c>
      <c r="K65">
        <f t="shared" si="7"/>
        <v>239.01500000000004</v>
      </c>
      <c r="L65">
        <f t="shared" si="10"/>
        <v>186.46959799999999</v>
      </c>
      <c r="M65">
        <f t="shared" si="8"/>
        <v>0.39248944641638994</v>
      </c>
      <c r="N65">
        <f t="shared" si="11"/>
        <v>207.09311374270669</v>
      </c>
      <c r="O65">
        <f t="shared" si="12"/>
        <v>93.810865035213453</v>
      </c>
      <c r="P65">
        <f t="shared" si="13"/>
        <v>113.28224870749322</v>
      </c>
      <c r="Q65">
        <f t="shared" si="14"/>
        <v>207.09311374270669</v>
      </c>
      <c r="R65" s="7"/>
    </row>
    <row r="66" spans="2:18" x14ac:dyDescent="0.3">
      <c r="B66">
        <f t="shared" si="15"/>
        <v>0.52000000000000024</v>
      </c>
      <c r="C66">
        <f t="shared" si="3"/>
        <v>0.75026010559511658</v>
      </c>
      <c r="D66" s="6">
        <f t="shared" si="1"/>
        <v>0.33333333333333331</v>
      </c>
      <c r="E66" s="6">
        <f t="shared" si="9"/>
        <v>0.5</v>
      </c>
      <c r="F66" s="8">
        <f t="shared" si="4"/>
        <v>0.13520000000000013</v>
      </c>
      <c r="G66" s="8">
        <f t="shared" si="5"/>
        <v>-7.3116160000000138E-2</v>
      </c>
      <c r="H66">
        <f t="shared" si="16"/>
        <v>27.040000000000024</v>
      </c>
      <c r="I66">
        <f t="shared" si="16"/>
        <v>-14.623232000000028</v>
      </c>
      <c r="J66">
        <f t="shared" si="6"/>
        <v>12.416767999999996</v>
      </c>
      <c r="K66">
        <f t="shared" si="7"/>
        <v>240.56000000000003</v>
      </c>
      <c r="L66">
        <f t="shared" si="10"/>
        <v>185.37676799999997</v>
      </c>
      <c r="M66">
        <f t="shared" si="8"/>
        <v>0.39621887006414808</v>
      </c>
      <c r="N66">
        <f t="shared" si="11"/>
        <v>207.24140582952776</v>
      </c>
      <c r="O66">
        <f t="shared" si="12"/>
        <v>95.314411382631476</v>
      </c>
      <c r="P66">
        <f t="shared" si="13"/>
        <v>111.92699444689627</v>
      </c>
      <c r="Q66">
        <f t="shared" si="14"/>
        <v>207.24140582952776</v>
      </c>
      <c r="R66" s="7"/>
    </row>
    <row r="67" spans="2:18" x14ac:dyDescent="0.3">
      <c r="B67">
        <f t="shared" si="15"/>
        <v>0.53000000000000025</v>
      </c>
      <c r="C67">
        <f t="shared" si="3"/>
        <v>0.71094950262500278</v>
      </c>
      <c r="D67" s="6">
        <f t="shared" si="1"/>
        <v>0.33333333333333331</v>
      </c>
      <c r="E67" s="6">
        <f t="shared" si="9"/>
        <v>0.5</v>
      </c>
      <c r="F67" s="8">
        <f t="shared" si="4"/>
        <v>0.14045000000000013</v>
      </c>
      <c r="G67" s="8">
        <f t="shared" si="5"/>
        <v>-7.8904810000000145E-2</v>
      </c>
      <c r="H67">
        <f t="shared" si="16"/>
        <v>28.090000000000025</v>
      </c>
      <c r="I67">
        <f t="shared" si="16"/>
        <v>-15.780962000000029</v>
      </c>
      <c r="J67">
        <f t="shared" si="6"/>
        <v>12.309037999999996</v>
      </c>
      <c r="K67">
        <f t="shared" si="7"/>
        <v>242.13500000000005</v>
      </c>
      <c r="L67">
        <f t="shared" si="10"/>
        <v>184.21903799999998</v>
      </c>
      <c r="M67">
        <f t="shared" si="8"/>
        <v>0.40063534262075257</v>
      </c>
      <c r="N67">
        <f t="shared" si="11"/>
        <v>207.42221927908051</v>
      </c>
      <c r="O67">
        <f t="shared" si="12"/>
        <v>97.007838685475946</v>
      </c>
      <c r="P67">
        <f t="shared" si="13"/>
        <v>110.41438059360456</v>
      </c>
      <c r="Q67">
        <f t="shared" si="14"/>
        <v>207.42221927908051</v>
      </c>
      <c r="R67" s="7"/>
    </row>
    <row r="68" spans="2:18" x14ac:dyDescent="0.3">
      <c r="B68">
        <f t="shared" si="15"/>
        <v>0.54000000000000026</v>
      </c>
      <c r="C68">
        <f t="shared" si="3"/>
        <v>0.66818777216816483</v>
      </c>
      <c r="D68" s="6">
        <f t="shared" si="1"/>
        <v>0.33333333333333331</v>
      </c>
      <c r="E68" s="6">
        <f t="shared" si="9"/>
        <v>0.5</v>
      </c>
      <c r="F68" s="8">
        <f t="shared" si="4"/>
        <v>0.14580000000000015</v>
      </c>
      <c r="G68" s="8">
        <f t="shared" si="5"/>
        <v>-8.5030560000000172E-2</v>
      </c>
      <c r="H68">
        <f t="shared" si="16"/>
        <v>29.160000000000032</v>
      </c>
      <c r="I68">
        <f t="shared" si="16"/>
        <v>-17.006112000000034</v>
      </c>
      <c r="J68">
        <f t="shared" si="6"/>
        <v>12.153887999999998</v>
      </c>
      <c r="K68">
        <f t="shared" si="7"/>
        <v>243.74000000000007</v>
      </c>
      <c r="L68">
        <f t="shared" si="10"/>
        <v>182.99388799999997</v>
      </c>
      <c r="M68">
        <f t="shared" si="8"/>
        <v>0.40570239728386837</v>
      </c>
      <c r="N68">
        <f t="shared" si="11"/>
        <v>207.63873126407438</v>
      </c>
      <c r="O68">
        <f t="shared" si="12"/>
        <v>98.885902313970107</v>
      </c>
      <c r="P68">
        <f t="shared" si="13"/>
        <v>108.75282895010427</v>
      </c>
      <c r="Q68">
        <f t="shared" si="14"/>
        <v>207.63873126407438</v>
      </c>
      <c r="R68" s="7"/>
    </row>
    <row r="69" spans="2:18" x14ac:dyDescent="0.3">
      <c r="B69">
        <f t="shared" si="15"/>
        <v>0.55000000000000027</v>
      </c>
      <c r="C69">
        <f t="shared" si="3"/>
        <v>0.62245933120185315</v>
      </c>
      <c r="D69" s="6">
        <f t="shared" si="1"/>
        <v>0.33333333333333331</v>
      </c>
      <c r="E69" s="6">
        <f t="shared" si="9"/>
        <v>0.5</v>
      </c>
      <c r="F69" s="8">
        <f t="shared" si="4"/>
        <v>0.15125000000000013</v>
      </c>
      <c r="G69" s="8">
        <f t="shared" si="5"/>
        <v>-9.1506250000000164E-2</v>
      </c>
      <c r="H69">
        <f t="shared" si="16"/>
        <v>30.250000000000028</v>
      </c>
      <c r="I69">
        <f t="shared" si="16"/>
        <v>-18.301250000000032</v>
      </c>
      <c r="J69">
        <f t="shared" si="6"/>
        <v>11.948749999999997</v>
      </c>
      <c r="K69">
        <f t="shared" si="7"/>
        <v>245.37500000000006</v>
      </c>
      <c r="L69">
        <f t="shared" si="10"/>
        <v>181.69874999999996</v>
      </c>
      <c r="M69">
        <f t="shared" si="8"/>
        <v>0.41135286125255421</v>
      </c>
      <c r="N69">
        <f t="shared" si="11"/>
        <v>207.89215763133296</v>
      </c>
      <c r="O69">
        <f t="shared" si="12"/>
        <v>100.93570832984551</v>
      </c>
      <c r="P69">
        <f t="shared" si="13"/>
        <v>106.95644930148744</v>
      </c>
      <c r="Q69">
        <f t="shared" si="14"/>
        <v>207.89215763133296</v>
      </c>
      <c r="R69" s="7"/>
    </row>
    <row r="70" spans="2:18" x14ac:dyDescent="0.3">
      <c r="B70">
        <f t="shared" si="15"/>
        <v>0.56000000000000028</v>
      </c>
      <c r="C70">
        <f t="shared" si="3"/>
        <v>0.57444251681165748</v>
      </c>
      <c r="D70" s="6">
        <f t="shared" si="1"/>
        <v>0.33333333333333331</v>
      </c>
      <c r="E70" s="6">
        <f t="shared" si="9"/>
        <v>0.5</v>
      </c>
      <c r="F70" s="8">
        <f t="shared" si="4"/>
        <v>0.15680000000000016</v>
      </c>
      <c r="G70" s="8">
        <f t="shared" si="5"/>
        <v>-9.8344960000000203E-2</v>
      </c>
      <c r="H70">
        <f t="shared" si="16"/>
        <v>31.360000000000031</v>
      </c>
      <c r="I70">
        <f t="shared" si="16"/>
        <v>-19.668992000000042</v>
      </c>
      <c r="J70">
        <f t="shared" si="6"/>
        <v>11.691007999999989</v>
      </c>
      <c r="K70">
        <f t="shared" si="7"/>
        <v>247.04000000000005</v>
      </c>
      <c r="L70">
        <f t="shared" si="10"/>
        <v>180.33100799999997</v>
      </c>
      <c r="M70">
        <f t="shared" si="8"/>
        <v>0.41748875888555675</v>
      </c>
      <c r="N70">
        <f t="shared" si="11"/>
        <v>208.18126227658655</v>
      </c>
      <c r="O70">
        <f t="shared" si="12"/>
        <v>103.13642299508795</v>
      </c>
      <c r="P70">
        <f t="shared" si="13"/>
        <v>105.04483928149858</v>
      </c>
      <c r="Q70">
        <f t="shared" si="14"/>
        <v>208.18126227658655</v>
      </c>
      <c r="R70" s="7"/>
    </row>
    <row r="71" spans="2:18" x14ac:dyDescent="0.3">
      <c r="B71">
        <f t="shared" si="15"/>
        <v>0.57000000000000028</v>
      </c>
      <c r="C71">
        <f t="shared" si="3"/>
        <v>0.52497918747893846</v>
      </c>
      <c r="D71" s="6">
        <f t="shared" si="1"/>
        <v>0.33333333333333331</v>
      </c>
      <c r="E71" s="6">
        <f t="shared" si="9"/>
        <v>0.5</v>
      </c>
      <c r="F71" s="8">
        <f t="shared" si="4"/>
        <v>0.16245000000000015</v>
      </c>
      <c r="G71" s="8">
        <f t="shared" si="5"/>
        <v>-0.10556001000000019</v>
      </c>
      <c r="H71">
        <f t="shared" si="16"/>
        <v>32.49000000000003</v>
      </c>
      <c r="I71">
        <f t="shared" si="16"/>
        <v>-21.112002000000039</v>
      </c>
      <c r="J71">
        <f t="shared" si="6"/>
        <v>11.377997999999991</v>
      </c>
      <c r="K71">
        <f t="shared" si="7"/>
        <v>248.73500000000004</v>
      </c>
      <c r="L71">
        <f t="shared" si="10"/>
        <v>178.88799799999995</v>
      </c>
      <c r="M71">
        <f t="shared" si="8"/>
        <v>0.42398496434178112</v>
      </c>
      <c r="N71">
        <f t="shared" si="11"/>
        <v>208.5020766523503</v>
      </c>
      <c r="O71">
        <f t="shared" si="12"/>
        <v>105.45990010555295</v>
      </c>
      <c r="P71">
        <f t="shared" si="13"/>
        <v>103.04217654679736</v>
      </c>
      <c r="Q71">
        <f t="shared" si="14"/>
        <v>208.5020766523503</v>
      </c>
      <c r="R71" s="4"/>
    </row>
    <row r="72" spans="2:18" x14ac:dyDescent="0.3">
      <c r="B72">
        <f t="shared" si="15"/>
        <v>0.58000000000000029</v>
      </c>
      <c r="C72">
        <f t="shared" si="3"/>
        <v>0.47502081252105832</v>
      </c>
      <c r="D72" s="6">
        <f t="shared" si="1"/>
        <v>0.33333333333333331</v>
      </c>
      <c r="E72" s="6">
        <f t="shared" si="9"/>
        <v>0.5</v>
      </c>
      <c r="F72" s="8">
        <f t="shared" si="4"/>
        <v>0.16820000000000018</v>
      </c>
      <c r="G72" s="8">
        <f t="shared" si="5"/>
        <v>-0.11316496000000024</v>
      </c>
      <c r="H72">
        <f t="shared" si="16"/>
        <v>33.640000000000036</v>
      </c>
      <c r="I72">
        <f t="shared" si="16"/>
        <v>-22.632992000000048</v>
      </c>
      <c r="J72">
        <f t="shared" si="6"/>
        <v>11.007007999999988</v>
      </c>
      <c r="K72">
        <f t="shared" si="7"/>
        <v>250.46000000000004</v>
      </c>
      <c r="L72">
        <f t="shared" si="10"/>
        <v>177.36700799999994</v>
      </c>
      <c r="M72">
        <f t="shared" si="8"/>
        <v>0.43069661933404479</v>
      </c>
      <c r="N72">
        <f t="shared" si="11"/>
        <v>208.84791255141036</v>
      </c>
      <c r="O72">
        <f t="shared" si="12"/>
        <v>107.87227527840487</v>
      </c>
      <c r="P72">
        <f t="shared" si="13"/>
        <v>100.97563727300549</v>
      </c>
      <c r="Q72">
        <f t="shared" si="14"/>
        <v>208.84791255141036</v>
      </c>
      <c r="R72" s="4"/>
    </row>
    <row r="73" spans="2:18" x14ac:dyDescent="0.3">
      <c r="B73">
        <f t="shared" si="15"/>
        <v>0.5900000000000003</v>
      </c>
      <c r="C73">
        <f t="shared" si="3"/>
        <v>0.42555748318833941</v>
      </c>
      <c r="D73" s="6">
        <f t="shared" si="1"/>
        <v>0.33333333333333331</v>
      </c>
      <c r="E73" s="6">
        <f t="shared" si="9"/>
        <v>0.5</v>
      </c>
      <c r="F73" s="8">
        <f t="shared" si="4"/>
        <v>0.17405000000000018</v>
      </c>
      <c r="G73" s="8">
        <f t="shared" si="5"/>
        <v>-0.12117361000000025</v>
      </c>
      <c r="H73">
        <f t="shared" si="16"/>
        <v>34.810000000000038</v>
      </c>
      <c r="I73">
        <f t="shared" si="16"/>
        <v>-24.234722000000051</v>
      </c>
      <c r="J73">
        <f t="shared" si="6"/>
        <v>10.575277999999987</v>
      </c>
      <c r="K73">
        <f t="shared" si="7"/>
        <v>252.21500000000006</v>
      </c>
      <c r="L73">
        <f t="shared" si="10"/>
        <v>175.76527799999994</v>
      </c>
      <c r="M73">
        <f t="shared" si="8"/>
        <v>0.4374694879559643</v>
      </c>
      <c r="N73">
        <f t="shared" si="11"/>
        <v>209.20969873771583</v>
      </c>
      <c r="O73">
        <f t="shared" si="12"/>
        <v>110.33636690481356</v>
      </c>
      <c r="P73">
        <f t="shared" si="13"/>
        <v>98.873331832902252</v>
      </c>
      <c r="Q73">
        <f t="shared" si="14"/>
        <v>209.20969873771583</v>
      </c>
      <c r="R73" s="4"/>
    </row>
    <row r="74" spans="2:18" x14ac:dyDescent="0.3">
      <c r="B74">
        <f t="shared" si="15"/>
        <v>0.60000000000000031</v>
      </c>
      <c r="C74">
        <f t="shared" si="3"/>
        <v>0.37754066879814385</v>
      </c>
      <c r="D74" s="6">
        <f t="shared" si="1"/>
        <v>0.33333333333333331</v>
      </c>
      <c r="E74" s="6">
        <f t="shared" si="9"/>
        <v>0.5</v>
      </c>
      <c r="F74" s="8">
        <f t="shared" si="4"/>
        <v>0.18000000000000019</v>
      </c>
      <c r="G74" s="8">
        <f t="shared" si="5"/>
        <v>-0.12960000000000027</v>
      </c>
      <c r="H74">
        <f t="shared" si="16"/>
        <v>36.000000000000036</v>
      </c>
      <c r="I74">
        <f t="shared" si="16"/>
        <v>-25.920000000000055</v>
      </c>
      <c r="J74">
        <f t="shared" si="6"/>
        <v>10.079999999999981</v>
      </c>
      <c r="K74">
        <f t="shared" si="7"/>
        <v>254.00000000000006</v>
      </c>
      <c r="L74">
        <f t="shared" si="10"/>
        <v>174.07999999999996</v>
      </c>
      <c r="M74">
        <f t="shared" si="8"/>
        <v>0.44415169235039575</v>
      </c>
      <c r="N74">
        <f t="shared" si="11"/>
        <v>209.57660325264362</v>
      </c>
      <c r="O74">
        <f t="shared" si="12"/>
        <v>112.81452985700055</v>
      </c>
      <c r="P74">
        <f t="shared" si="13"/>
        <v>96.762073395643085</v>
      </c>
      <c r="Q74">
        <f t="shared" si="14"/>
        <v>209.57660325264362</v>
      </c>
      <c r="R74" s="4"/>
    </row>
    <row r="75" spans="2:18" x14ac:dyDescent="0.3">
      <c r="B75">
        <f t="shared" si="15"/>
        <v>0.61000000000000032</v>
      </c>
      <c r="C75">
        <f t="shared" si="3"/>
        <v>0.33181222783183228</v>
      </c>
      <c r="D75" s="6">
        <f t="shared" si="1"/>
        <v>0.33333333333333331</v>
      </c>
      <c r="E75" s="6">
        <f t="shared" si="9"/>
        <v>0.5</v>
      </c>
      <c r="F75" s="8">
        <f t="shared" si="4"/>
        <v>0.18605000000000019</v>
      </c>
      <c r="G75" s="8">
        <f t="shared" si="5"/>
        <v>-0.13845841000000028</v>
      </c>
      <c r="H75">
        <f t="shared" si="16"/>
        <v>37.210000000000036</v>
      </c>
      <c r="I75">
        <f t="shared" si="16"/>
        <v>-27.691682000000057</v>
      </c>
      <c r="J75">
        <f t="shared" si="6"/>
        <v>9.5183179999999794</v>
      </c>
      <c r="K75">
        <f t="shared" si="7"/>
        <v>255.81500000000005</v>
      </c>
      <c r="L75">
        <f t="shared" si="10"/>
        <v>172.30831799999993</v>
      </c>
      <c r="M75">
        <f t="shared" si="8"/>
        <v>0.45060492669906899</v>
      </c>
      <c r="N75">
        <f t="shared" si="11"/>
        <v>209.93684032149244</v>
      </c>
      <c r="O75">
        <f t="shared" si="12"/>
        <v>115.27149932352236</v>
      </c>
      <c r="P75">
        <f t="shared" si="13"/>
        <v>94.665340997970077</v>
      </c>
      <c r="Q75">
        <f t="shared" si="14"/>
        <v>209.93684032149244</v>
      </c>
      <c r="R75" s="4"/>
    </row>
    <row r="76" spans="2:18" x14ac:dyDescent="0.3">
      <c r="B76">
        <f t="shared" si="15"/>
        <v>0.62000000000000033</v>
      </c>
      <c r="C76">
        <f t="shared" si="3"/>
        <v>0.28905049737499455</v>
      </c>
      <c r="D76" s="6">
        <f t="shared" si="1"/>
        <v>0.33333333333333331</v>
      </c>
      <c r="E76" s="6">
        <f t="shared" si="9"/>
        <v>0.5</v>
      </c>
      <c r="F76" s="8">
        <f t="shared" si="4"/>
        <v>0.1922000000000002</v>
      </c>
      <c r="G76" s="8">
        <f t="shared" si="5"/>
        <v>-0.14776336000000032</v>
      </c>
      <c r="H76">
        <f t="shared" si="16"/>
        <v>38.44000000000004</v>
      </c>
      <c r="I76">
        <f t="shared" si="16"/>
        <v>-29.552672000000062</v>
      </c>
      <c r="J76">
        <f t="shared" si="6"/>
        <v>8.8873279999999788</v>
      </c>
      <c r="K76">
        <f t="shared" si="7"/>
        <v>257.66000000000008</v>
      </c>
      <c r="L76">
        <f t="shared" si="10"/>
        <v>170.44732799999994</v>
      </c>
      <c r="M76">
        <f t="shared" si="8"/>
        <v>0.45671341366245588</v>
      </c>
      <c r="N76">
        <f t="shared" si="11"/>
        <v>210.27852514374408</v>
      </c>
      <c r="O76">
        <f t="shared" si="12"/>
        <v>117.67677816426841</v>
      </c>
      <c r="P76">
        <f t="shared" si="13"/>
        <v>92.601746979475664</v>
      </c>
      <c r="Q76">
        <f t="shared" si="14"/>
        <v>210.27852514374408</v>
      </c>
      <c r="R76" s="4"/>
    </row>
    <row r="77" spans="2:18" x14ac:dyDescent="0.3">
      <c r="B77">
        <f t="shared" si="15"/>
        <v>0.63000000000000034</v>
      </c>
      <c r="C77">
        <f t="shared" si="3"/>
        <v>0.24973989440488098</v>
      </c>
      <c r="D77" s="6">
        <f t="shared" si="1"/>
        <v>0.33333333333333331</v>
      </c>
      <c r="E77" s="6">
        <f t="shared" si="9"/>
        <v>0.5</v>
      </c>
      <c r="F77" s="8">
        <f t="shared" si="4"/>
        <v>0.19845000000000021</v>
      </c>
      <c r="G77" s="8">
        <f t="shared" si="5"/>
        <v>-0.15752961000000032</v>
      </c>
      <c r="H77">
        <f t="shared" si="16"/>
        <v>39.69000000000004</v>
      </c>
      <c r="I77">
        <f t="shared" si="16"/>
        <v>-31.505922000000062</v>
      </c>
      <c r="J77">
        <f t="shared" si="6"/>
        <v>8.1840779999999782</v>
      </c>
      <c r="K77">
        <f t="shared" si="7"/>
        <v>259.53500000000008</v>
      </c>
      <c r="L77">
        <f t="shared" si="10"/>
        <v>168.49407799999994</v>
      </c>
      <c r="M77">
        <f t="shared" si="8"/>
        <v>0.46238947432456196</v>
      </c>
      <c r="N77">
        <f t="shared" si="11"/>
        <v>210.59044206560344</v>
      </c>
      <c r="O77">
        <f t="shared" si="12"/>
        <v>120.00625221882522</v>
      </c>
      <c r="P77">
        <f t="shared" si="13"/>
        <v>90.584189846778216</v>
      </c>
      <c r="Q77">
        <f t="shared" si="14"/>
        <v>210.59044206560344</v>
      </c>
      <c r="R77" s="4"/>
    </row>
    <row r="78" spans="2:18" x14ac:dyDescent="0.3">
      <c r="B78">
        <f t="shared" si="15"/>
        <v>0.64000000000000035</v>
      </c>
      <c r="C78">
        <f t="shared" si="3"/>
        <v>0.21416501695744006</v>
      </c>
      <c r="D78" s="6">
        <f t="shared" ref="D78:D114" si="17">$D$10/($D$10+$B$10)</f>
        <v>0.33333333333333331</v>
      </c>
      <c r="E78" s="6">
        <f t="shared" si="9"/>
        <v>0.5</v>
      </c>
      <c r="F78" s="8">
        <f t="shared" si="4"/>
        <v>0.20480000000000023</v>
      </c>
      <c r="G78" s="8">
        <f t="shared" si="5"/>
        <v>-0.16777216000000039</v>
      </c>
      <c r="H78">
        <f t="shared" ref="H78:I114" si="18">F78*$F$7</f>
        <v>40.960000000000043</v>
      </c>
      <c r="I78">
        <f t="shared" si="18"/>
        <v>-33.554432000000077</v>
      </c>
      <c r="J78">
        <f t="shared" si="6"/>
        <v>7.4055679999999668</v>
      </c>
      <c r="K78">
        <f t="shared" si="7"/>
        <v>261.44000000000005</v>
      </c>
      <c r="L78">
        <f t="shared" si="10"/>
        <v>166.44556799999992</v>
      </c>
      <c r="M78">
        <f t="shared" si="8"/>
        <v>0.46757539518738545</v>
      </c>
      <c r="N78">
        <f t="shared" si="11"/>
        <v>210.8626270830012</v>
      </c>
      <c r="O78">
        <f t="shared" si="12"/>
        <v>122.24291131779007</v>
      </c>
      <c r="P78">
        <f t="shared" si="13"/>
        <v>88.619715765211126</v>
      </c>
      <c r="Q78">
        <f t="shared" si="14"/>
        <v>210.8626270830012</v>
      </c>
      <c r="R78" s="4"/>
    </row>
    <row r="79" spans="2:18" x14ac:dyDescent="0.3">
      <c r="B79">
        <f t="shared" si="15"/>
        <v>0.65000000000000036</v>
      </c>
      <c r="C79">
        <f t="shared" ref="C79:C114" si="19">1-1/(1+EXP(-20*(B79-(($N$10+$M$10)/2))))</f>
        <v>0.18242552380635524</v>
      </c>
      <c r="D79" s="6">
        <f t="shared" si="17"/>
        <v>0.33333333333333331</v>
      </c>
      <c r="E79" s="6">
        <f t="shared" si="9"/>
        <v>0.5</v>
      </c>
      <c r="F79" s="8">
        <f t="shared" ref="F79:F114" si="20">B79^2*0.5</f>
        <v>0.21125000000000024</v>
      </c>
      <c r="G79" s="8">
        <f t="shared" ref="G79:G114" si="21">-(B79^4)</f>
        <v>-0.17850625000000042</v>
      </c>
      <c r="H79">
        <f t="shared" si="18"/>
        <v>42.25000000000005</v>
      </c>
      <c r="I79">
        <f t="shared" si="18"/>
        <v>-35.701250000000087</v>
      </c>
      <c r="J79">
        <f t="shared" ref="J79:J114" si="22">H79+I79</f>
        <v>6.5487499999999628</v>
      </c>
      <c r="K79">
        <f t="shared" ref="K79:K114" si="23">$G$10+H79*$K$10</f>
        <v>263.37500000000006</v>
      </c>
      <c r="L79">
        <f t="shared" si="10"/>
        <v>164.29874999999993</v>
      </c>
      <c r="M79">
        <f t="shared" ref="M79:M114" si="24">C79*D79^(1-EXP(-5*B79))+(1-C79)*E79</f>
        <v>0.47224201856044379</v>
      </c>
      <c r="N79">
        <f t="shared" si="11"/>
        <v>211.08671829139917</v>
      </c>
      <c r="O79">
        <f t="shared" si="12"/>
        <v>124.3767416383569</v>
      </c>
      <c r="P79">
        <f t="shared" si="13"/>
        <v>86.709976653042247</v>
      </c>
      <c r="Q79">
        <f t="shared" si="14"/>
        <v>211.08671829139917</v>
      </c>
      <c r="R79" s="4"/>
    </row>
    <row r="80" spans="2:18" x14ac:dyDescent="0.3">
      <c r="B80">
        <f t="shared" si="15"/>
        <v>0.66000000000000036</v>
      </c>
      <c r="C80">
        <f t="shared" si="19"/>
        <v>0.15446526508353364</v>
      </c>
      <c r="D80" s="6">
        <f t="shared" si="17"/>
        <v>0.33333333333333331</v>
      </c>
      <c r="E80" s="6">
        <f t="shared" ref="E80:E114" si="25">$E$10/($E$10+$C$10)</f>
        <v>0.5</v>
      </c>
      <c r="F80" s="8">
        <f t="shared" si="20"/>
        <v>0.21780000000000024</v>
      </c>
      <c r="G80" s="8">
        <f t="shared" si="21"/>
        <v>-0.18974736000000042</v>
      </c>
      <c r="H80">
        <f t="shared" si="18"/>
        <v>43.560000000000052</v>
      </c>
      <c r="I80">
        <f t="shared" si="18"/>
        <v>-37.949472000000085</v>
      </c>
      <c r="J80">
        <f t="shared" si="22"/>
        <v>5.6105279999999667</v>
      </c>
      <c r="K80">
        <f t="shared" si="23"/>
        <v>265.34000000000009</v>
      </c>
      <c r="L80">
        <f t="shared" ref="L80:L114" si="26">$G$10+I80</f>
        <v>162.05052799999993</v>
      </c>
      <c r="M80">
        <f t="shared" si="24"/>
        <v>0.47638496153304938</v>
      </c>
      <c r="N80">
        <f t="shared" ref="N80:N114" si="27">M80*K80+(1-M80)*L80</f>
        <v>211.256079145489</v>
      </c>
      <c r="O80">
        <f t="shared" ref="O80:O114" si="28">K80*M80</f>
        <v>126.40398569317937</v>
      </c>
      <c r="P80">
        <f t="shared" ref="P80:P114" si="29">(1-M80)*L80</f>
        <v>84.852093452309632</v>
      </c>
      <c r="Q80">
        <f t="shared" ref="Q80:Q114" si="30">P80+O80</f>
        <v>211.256079145489</v>
      </c>
      <c r="R80" s="4"/>
    </row>
    <row r="81" spans="2:18" x14ac:dyDescent="0.3">
      <c r="B81">
        <f t="shared" ref="B81:B114" si="31">B80+0.01</f>
        <v>0.67000000000000037</v>
      </c>
      <c r="C81">
        <f t="shared" si="19"/>
        <v>0.13010847436299688</v>
      </c>
      <c r="D81" s="6">
        <f t="shared" si="17"/>
        <v>0.33333333333333331</v>
      </c>
      <c r="E81" s="6">
        <f t="shared" si="25"/>
        <v>0.5</v>
      </c>
      <c r="F81" s="8">
        <f t="shared" si="20"/>
        <v>0.22445000000000026</v>
      </c>
      <c r="G81" s="8">
        <f t="shared" si="21"/>
        <v>-0.20151121000000047</v>
      </c>
      <c r="H81">
        <f t="shared" si="18"/>
        <v>44.89000000000005</v>
      </c>
      <c r="I81">
        <f t="shared" si="18"/>
        <v>-40.302242000000092</v>
      </c>
      <c r="J81">
        <f t="shared" si="22"/>
        <v>4.5877579999999583</v>
      </c>
      <c r="K81">
        <f t="shared" si="23"/>
        <v>267.33500000000009</v>
      </c>
      <c r="L81">
        <f t="shared" si="26"/>
        <v>159.69775799999991</v>
      </c>
      <c r="M81">
        <f t="shared" si="24"/>
        <v>0.4800195262252348</v>
      </c>
      <c r="N81">
        <f t="shared" si="27"/>
        <v>211.36573590903095</v>
      </c>
      <c r="O81">
        <f t="shared" si="28"/>
        <v>128.3260200434232</v>
      </c>
      <c r="P81">
        <f t="shared" si="29"/>
        <v>83.039715865607747</v>
      </c>
      <c r="Q81">
        <f t="shared" si="30"/>
        <v>211.36573590903095</v>
      </c>
      <c r="R81" s="4"/>
    </row>
    <row r="82" spans="2:18" x14ac:dyDescent="0.3">
      <c r="B82" s="13">
        <f t="shared" si="31"/>
        <v>0.68000000000000038</v>
      </c>
      <c r="C82" s="13">
        <f t="shared" si="19"/>
        <v>0.10909682119561204</v>
      </c>
      <c r="D82" s="14">
        <f t="shared" si="17"/>
        <v>0.33333333333333331</v>
      </c>
      <c r="E82" s="14">
        <f t="shared" si="25"/>
        <v>0.5</v>
      </c>
      <c r="F82" s="15">
        <f t="shared" si="20"/>
        <v>0.23120000000000027</v>
      </c>
      <c r="G82" s="15">
        <f t="shared" si="21"/>
        <v>-0.21381376000000049</v>
      </c>
      <c r="H82" s="13">
        <f t="shared" si="18"/>
        <v>46.240000000000052</v>
      </c>
      <c r="I82" s="13">
        <f t="shared" si="18"/>
        <v>-42.762752000000098</v>
      </c>
      <c r="J82" s="13">
        <f t="shared" si="22"/>
        <v>3.4772479999999533</v>
      </c>
      <c r="K82" s="13">
        <f t="shared" si="23"/>
        <v>269.36000000000007</v>
      </c>
      <c r="L82" s="13">
        <f t="shared" si="26"/>
        <v>157.23724799999991</v>
      </c>
      <c r="M82" s="13">
        <f t="shared" si="24"/>
        <v>0.48317525950514689</v>
      </c>
      <c r="N82" s="13">
        <f t="shared" si="27"/>
        <v>211.41218779403121</v>
      </c>
      <c r="O82" s="13">
        <f t="shared" si="28"/>
        <v>130.14808790030639</v>
      </c>
      <c r="P82" s="13">
        <f t="shared" si="29"/>
        <v>81.264099893724818</v>
      </c>
      <c r="Q82" s="13">
        <f t="shared" si="30"/>
        <v>211.41218779403121</v>
      </c>
      <c r="R82" s="4"/>
    </row>
    <row r="83" spans="2:18" x14ac:dyDescent="0.3">
      <c r="B83">
        <f t="shared" si="31"/>
        <v>0.69000000000000039</v>
      </c>
      <c r="C83">
        <f t="shared" si="19"/>
        <v>9.1122961014855508E-2</v>
      </c>
      <c r="D83" s="6">
        <f t="shared" si="17"/>
        <v>0.33333333333333331</v>
      </c>
      <c r="E83" s="6">
        <f t="shared" si="25"/>
        <v>0.5</v>
      </c>
      <c r="F83" s="8">
        <f t="shared" si="20"/>
        <v>0.23805000000000026</v>
      </c>
      <c r="G83" s="8">
        <f t="shared" si="21"/>
        <v>-0.22667121000000051</v>
      </c>
      <c r="H83">
        <f t="shared" si="18"/>
        <v>47.610000000000049</v>
      </c>
      <c r="I83">
        <f t="shared" si="18"/>
        <v>-45.334242000000103</v>
      </c>
      <c r="J83">
        <f t="shared" si="22"/>
        <v>2.2757579999999464</v>
      </c>
      <c r="K83">
        <f t="shared" si="23"/>
        <v>271.41500000000008</v>
      </c>
      <c r="L83">
        <f t="shared" si="26"/>
        <v>154.6657579999999</v>
      </c>
      <c r="M83">
        <f t="shared" si="24"/>
        <v>0.48589086854324826</v>
      </c>
      <c r="N83">
        <f t="shared" si="27"/>
        <v>211.39314859714585</v>
      </c>
      <c r="O83">
        <f t="shared" si="28"/>
        <v>131.87807008566577</v>
      </c>
      <c r="P83">
        <f t="shared" si="29"/>
        <v>79.515078511480098</v>
      </c>
      <c r="Q83">
        <f t="shared" si="30"/>
        <v>211.39314859714585</v>
      </c>
      <c r="R83" s="4"/>
    </row>
    <row r="84" spans="2:18" x14ac:dyDescent="0.3">
      <c r="B84">
        <f t="shared" si="31"/>
        <v>0.7000000000000004</v>
      </c>
      <c r="C84">
        <f t="shared" si="19"/>
        <v>7.5858180021242894E-2</v>
      </c>
      <c r="D84" s="6">
        <f t="shared" si="17"/>
        <v>0.33333333333333331</v>
      </c>
      <c r="E84" s="6">
        <f t="shared" si="25"/>
        <v>0.5</v>
      </c>
      <c r="F84" s="8">
        <f t="shared" si="20"/>
        <v>0.24500000000000027</v>
      </c>
      <c r="G84" s="8">
        <f t="shared" si="21"/>
        <v>-0.24010000000000054</v>
      </c>
      <c r="H84">
        <f t="shared" si="18"/>
        <v>49.000000000000057</v>
      </c>
      <c r="I84">
        <f t="shared" si="18"/>
        <v>-48.02000000000011</v>
      </c>
      <c r="J84">
        <f t="shared" si="22"/>
        <v>0.97999999999994714</v>
      </c>
      <c r="K84">
        <f t="shared" si="23"/>
        <v>273.50000000000011</v>
      </c>
      <c r="L84">
        <f t="shared" si="26"/>
        <v>151.9799999999999</v>
      </c>
      <c r="M84">
        <f t="shared" si="24"/>
        <v>0.48820991052830176</v>
      </c>
      <c r="N84">
        <f t="shared" si="27"/>
        <v>211.30726832739924</v>
      </c>
      <c r="O84">
        <f t="shared" si="28"/>
        <v>133.52541052949059</v>
      </c>
      <c r="P84">
        <f t="shared" si="29"/>
        <v>77.781857797908643</v>
      </c>
      <c r="Q84">
        <f t="shared" si="30"/>
        <v>211.30726832739924</v>
      </c>
      <c r="R84" s="4"/>
    </row>
    <row r="85" spans="2:18" x14ac:dyDescent="0.3">
      <c r="B85">
        <f t="shared" si="31"/>
        <v>0.71000000000000041</v>
      </c>
      <c r="C85">
        <f t="shared" si="19"/>
        <v>6.2973356056995833E-2</v>
      </c>
      <c r="D85" s="6">
        <f t="shared" si="17"/>
        <v>0.33333333333333331</v>
      </c>
      <c r="E85" s="6">
        <f t="shared" si="25"/>
        <v>0.5</v>
      </c>
      <c r="F85" s="8">
        <f t="shared" si="20"/>
        <v>0.25205000000000027</v>
      </c>
      <c r="G85" s="8">
        <f t="shared" si="21"/>
        <v>-0.25411681000000053</v>
      </c>
      <c r="H85">
        <f t="shared" si="18"/>
        <v>50.410000000000053</v>
      </c>
      <c r="I85">
        <f t="shared" si="18"/>
        <v>-50.823362000000103</v>
      </c>
      <c r="J85">
        <f t="shared" si="22"/>
        <v>-0.41336200000004908</v>
      </c>
      <c r="K85">
        <f t="shared" si="23"/>
        <v>275.61500000000007</v>
      </c>
      <c r="L85">
        <f t="shared" si="26"/>
        <v>149.17663799999991</v>
      </c>
      <c r="M85">
        <f t="shared" si="24"/>
        <v>0.49017742539393605</v>
      </c>
      <c r="N85">
        <f t="shared" si="27"/>
        <v>211.15386875618648</v>
      </c>
      <c r="O85">
        <f t="shared" si="28"/>
        <v>135.10025109994973</v>
      </c>
      <c r="P85">
        <f t="shared" si="29"/>
        <v>76.053617656236753</v>
      </c>
      <c r="Q85">
        <f t="shared" si="30"/>
        <v>211.15386875618648</v>
      </c>
      <c r="R85" s="4"/>
    </row>
    <row r="86" spans="2:18" x14ac:dyDescent="0.3">
      <c r="B86">
        <f t="shared" si="31"/>
        <v>0.72000000000000042</v>
      </c>
      <c r="C86">
        <f t="shared" si="19"/>
        <v>5.2153563078417231E-2</v>
      </c>
      <c r="D86" s="6">
        <f t="shared" si="17"/>
        <v>0.33333333333333331</v>
      </c>
      <c r="E86" s="6">
        <f t="shared" si="25"/>
        <v>0.5</v>
      </c>
      <c r="F86" s="8">
        <f t="shared" si="20"/>
        <v>0.25920000000000032</v>
      </c>
      <c r="G86" s="8">
        <f t="shared" si="21"/>
        <v>-0.26873856000000068</v>
      </c>
      <c r="H86">
        <f t="shared" si="18"/>
        <v>51.84000000000006</v>
      </c>
      <c r="I86">
        <f t="shared" si="18"/>
        <v>-53.747712000000135</v>
      </c>
      <c r="J86">
        <f t="shared" si="22"/>
        <v>-1.9077120000000747</v>
      </c>
      <c r="K86">
        <f t="shared" si="23"/>
        <v>277.7600000000001</v>
      </c>
      <c r="L86">
        <f t="shared" si="26"/>
        <v>146.25228799999985</v>
      </c>
      <c r="M86">
        <f t="shared" si="24"/>
        <v>0.4918375026022978</v>
      </c>
      <c r="N86">
        <f t="shared" si="27"/>
        <v>210.9327126430222</v>
      </c>
      <c r="O86">
        <f t="shared" si="28"/>
        <v>136.6127847228143</v>
      </c>
      <c r="P86">
        <f t="shared" si="29"/>
        <v>74.319927920207903</v>
      </c>
      <c r="Q86">
        <f t="shared" si="30"/>
        <v>210.9327126430222</v>
      </c>
      <c r="R86" s="4"/>
    </row>
    <row r="87" spans="2:18" x14ac:dyDescent="0.3">
      <c r="B87">
        <f t="shared" si="31"/>
        <v>0.73000000000000043</v>
      </c>
      <c r="C87">
        <f t="shared" si="19"/>
        <v>4.3107254941085693E-2</v>
      </c>
      <c r="D87" s="6">
        <f t="shared" si="17"/>
        <v>0.33333333333333331</v>
      </c>
      <c r="E87" s="6">
        <f t="shared" si="25"/>
        <v>0.5</v>
      </c>
      <c r="F87" s="8">
        <f t="shared" si="20"/>
        <v>0.2664500000000003</v>
      </c>
      <c r="G87" s="8">
        <f t="shared" si="21"/>
        <v>-0.28398241000000063</v>
      </c>
      <c r="H87">
        <f t="shared" si="18"/>
        <v>53.290000000000063</v>
      </c>
      <c r="I87">
        <f t="shared" si="18"/>
        <v>-56.796482000000125</v>
      </c>
      <c r="J87">
        <f t="shared" si="22"/>
        <v>-3.5064820000000623</v>
      </c>
      <c r="K87">
        <f t="shared" si="23"/>
        <v>279.93500000000006</v>
      </c>
      <c r="L87">
        <f t="shared" si="26"/>
        <v>143.20351799999986</v>
      </c>
      <c r="M87">
        <f t="shared" si="24"/>
        <v>0.49323166886143538</v>
      </c>
      <c r="N87">
        <f t="shared" si="27"/>
        <v>210.64381505275728</v>
      </c>
      <c r="O87">
        <f t="shared" si="28"/>
        <v>138.07280722272594</v>
      </c>
      <c r="P87">
        <f t="shared" si="29"/>
        <v>72.571007830031334</v>
      </c>
      <c r="Q87">
        <f t="shared" si="30"/>
        <v>210.64381505275728</v>
      </c>
      <c r="R87" s="4"/>
    </row>
    <row r="88" spans="2:18" x14ac:dyDescent="0.3">
      <c r="B88">
        <f t="shared" si="31"/>
        <v>0.74000000000000044</v>
      </c>
      <c r="C88">
        <f t="shared" si="19"/>
        <v>3.5571189272635917E-2</v>
      </c>
      <c r="D88" s="6">
        <f t="shared" si="17"/>
        <v>0.33333333333333331</v>
      </c>
      <c r="E88" s="6">
        <f t="shared" si="25"/>
        <v>0.5</v>
      </c>
      <c r="F88" s="8">
        <f t="shared" si="20"/>
        <v>0.27380000000000032</v>
      </c>
      <c r="G88" s="8">
        <f t="shared" si="21"/>
        <v>-0.2998657600000007</v>
      </c>
      <c r="H88">
        <f t="shared" si="18"/>
        <v>54.760000000000062</v>
      </c>
      <c r="I88">
        <f t="shared" si="18"/>
        <v>-59.973152000000141</v>
      </c>
      <c r="J88">
        <f t="shared" si="22"/>
        <v>-5.2131520000000791</v>
      </c>
      <c r="K88">
        <f t="shared" si="23"/>
        <v>282.1400000000001</v>
      </c>
      <c r="L88">
        <f t="shared" si="26"/>
        <v>140.02684799999986</v>
      </c>
      <c r="M88">
        <f t="shared" si="24"/>
        <v>0.49439793855302155</v>
      </c>
      <c r="N88">
        <f t="shared" si="27"/>
        <v>210.28729739007221</v>
      </c>
      <c r="O88">
        <f t="shared" si="28"/>
        <v>139.48943438334956</v>
      </c>
      <c r="P88">
        <f t="shared" si="29"/>
        <v>70.79786300672265</v>
      </c>
      <c r="Q88">
        <f t="shared" si="30"/>
        <v>210.28729739007221</v>
      </c>
      <c r="R88" s="4"/>
    </row>
    <row r="89" spans="2:18" x14ac:dyDescent="0.3">
      <c r="B89">
        <f t="shared" si="31"/>
        <v>0.75000000000000044</v>
      </c>
      <c r="C89">
        <f t="shared" si="19"/>
        <v>2.9312230751356028E-2</v>
      </c>
      <c r="D89" s="6">
        <f t="shared" si="17"/>
        <v>0.33333333333333331</v>
      </c>
      <c r="E89" s="6">
        <f t="shared" si="25"/>
        <v>0.5</v>
      </c>
      <c r="F89" s="8">
        <f t="shared" si="20"/>
        <v>0.28125000000000033</v>
      </c>
      <c r="G89" s="8">
        <f t="shared" si="21"/>
        <v>-0.31640625000000078</v>
      </c>
      <c r="H89">
        <f t="shared" si="18"/>
        <v>56.250000000000064</v>
      </c>
      <c r="I89">
        <f t="shared" si="18"/>
        <v>-63.281250000000156</v>
      </c>
      <c r="J89">
        <f t="shared" si="22"/>
        <v>-7.0312500000000924</v>
      </c>
      <c r="K89">
        <f t="shared" si="23"/>
        <v>284.37500000000011</v>
      </c>
      <c r="L89">
        <f t="shared" si="26"/>
        <v>136.71874999999983</v>
      </c>
      <c r="M89">
        <f t="shared" si="24"/>
        <v>0.49537036325492179</v>
      </c>
      <c r="N89">
        <f t="shared" si="27"/>
        <v>209.86328019935951</v>
      </c>
      <c r="O89">
        <f t="shared" si="28"/>
        <v>140.87094705061844</v>
      </c>
      <c r="P89">
        <f t="shared" si="29"/>
        <v>68.992333148741082</v>
      </c>
      <c r="Q89">
        <f t="shared" si="30"/>
        <v>209.86328019935951</v>
      </c>
      <c r="R89" s="4"/>
    </row>
    <row r="90" spans="2:18" x14ac:dyDescent="0.3">
      <c r="B90">
        <f t="shared" si="31"/>
        <v>0.76000000000000045</v>
      </c>
      <c r="C90">
        <f t="shared" si="19"/>
        <v>2.4127021417668981E-2</v>
      </c>
      <c r="D90" s="6">
        <f t="shared" si="17"/>
        <v>0.33333333333333331</v>
      </c>
      <c r="E90" s="6">
        <f t="shared" si="25"/>
        <v>0.5</v>
      </c>
      <c r="F90" s="8">
        <f t="shared" si="20"/>
        <v>0.28880000000000033</v>
      </c>
      <c r="G90" s="8">
        <f t="shared" si="21"/>
        <v>-0.33362176000000077</v>
      </c>
      <c r="H90">
        <f t="shared" si="18"/>
        <v>57.760000000000069</v>
      </c>
      <c r="I90">
        <f t="shared" si="18"/>
        <v>-66.724352000000152</v>
      </c>
      <c r="J90">
        <f t="shared" si="22"/>
        <v>-8.9643520000000834</v>
      </c>
      <c r="K90">
        <f t="shared" si="23"/>
        <v>286.6400000000001</v>
      </c>
      <c r="L90">
        <f t="shared" si="26"/>
        <v>133.27564799999985</v>
      </c>
      <c r="M90">
        <f t="shared" si="24"/>
        <v>0.49617893368155197</v>
      </c>
      <c r="N90">
        <f t="shared" si="27"/>
        <v>209.37180864012217</v>
      </c>
      <c r="O90">
        <f t="shared" si="28"/>
        <v>142.22472955048011</v>
      </c>
      <c r="P90">
        <f t="shared" si="29"/>
        <v>67.147079089642062</v>
      </c>
      <c r="Q90">
        <f t="shared" si="30"/>
        <v>209.37180864012217</v>
      </c>
      <c r="R90" s="4"/>
    </row>
    <row r="91" spans="2:18" x14ac:dyDescent="0.3">
      <c r="B91">
        <f t="shared" si="31"/>
        <v>0.77000000000000046</v>
      </c>
      <c r="C91">
        <f t="shared" si="19"/>
        <v>1.9840305734077246E-2</v>
      </c>
      <c r="D91" s="6">
        <f t="shared" si="17"/>
        <v>0.33333333333333331</v>
      </c>
      <c r="E91" s="6">
        <f t="shared" si="25"/>
        <v>0.5</v>
      </c>
      <c r="F91" s="8">
        <f t="shared" si="20"/>
        <v>0.29645000000000038</v>
      </c>
      <c r="G91" s="8">
        <f t="shared" si="21"/>
        <v>-0.3515304100000009</v>
      </c>
      <c r="H91">
        <f t="shared" si="18"/>
        <v>59.290000000000077</v>
      </c>
      <c r="I91">
        <f t="shared" si="18"/>
        <v>-70.306082000000174</v>
      </c>
      <c r="J91">
        <f t="shared" si="22"/>
        <v>-11.016082000000097</v>
      </c>
      <c r="K91">
        <f t="shared" si="23"/>
        <v>288.93500000000012</v>
      </c>
      <c r="L91">
        <f t="shared" si="26"/>
        <v>129.69391799999983</v>
      </c>
      <c r="M91">
        <f t="shared" si="24"/>
        <v>0.49684971387413623</v>
      </c>
      <c r="N91">
        <f t="shared" si="27"/>
        <v>208.81280402870783</v>
      </c>
      <c r="O91">
        <f t="shared" si="28"/>
        <v>143.5572720782236</v>
      </c>
      <c r="P91">
        <f t="shared" si="29"/>
        <v>65.255531950484226</v>
      </c>
      <c r="Q91">
        <f t="shared" si="30"/>
        <v>208.81280402870783</v>
      </c>
      <c r="R91" s="4"/>
    </row>
    <row r="92" spans="2:18" x14ac:dyDescent="0.3">
      <c r="B92">
        <f t="shared" si="31"/>
        <v>0.78000000000000047</v>
      </c>
      <c r="C92">
        <f t="shared" si="19"/>
        <v>1.6302499371440682E-2</v>
      </c>
      <c r="D92" s="6">
        <f t="shared" si="17"/>
        <v>0.33333333333333331</v>
      </c>
      <c r="E92" s="6">
        <f t="shared" si="25"/>
        <v>0.5</v>
      </c>
      <c r="F92" s="8">
        <f t="shared" si="20"/>
        <v>0.30420000000000036</v>
      </c>
      <c r="G92" s="8">
        <f t="shared" si="21"/>
        <v>-0.37015056000000085</v>
      </c>
      <c r="H92">
        <f t="shared" si="18"/>
        <v>60.840000000000074</v>
      </c>
      <c r="I92">
        <f t="shared" si="18"/>
        <v>-74.030112000000173</v>
      </c>
      <c r="J92">
        <f t="shared" si="22"/>
        <v>-13.190112000000099</v>
      </c>
      <c r="K92">
        <f t="shared" si="23"/>
        <v>291.2600000000001</v>
      </c>
      <c r="L92">
        <f t="shared" si="26"/>
        <v>125.96988799999983</v>
      </c>
      <c r="M92">
        <f t="shared" si="24"/>
        <v>0.49740511552677108</v>
      </c>
      <c r="N92">
        <f t="shared" si="27"/>
        <v>208.1860352547929</v>
      </c>
      <c r="O92">
        <f t="shared" si="28"/>
        <v>144.87421394832739</v>
      </c>
      <c r="P92">
        <f t="shared" si="29"/>
        <v>63.31182130646549</v>
      </c>
      <c r="Q92">
        <f t="shared" si="30"/>
        <v>208.1860352547929</v>
      </c>
      <c r="R92" s="4"/>
    </row>
    <row r="93" spans="2:18" x14ac:dyDescent="0.3">
      <c r="B93">
        <f t="shared" si="31"/>
        <v>0.79000000000000048</v>
      </c>
      <c r="C93">
        <f t="shared" si="19"/>
        <v>1.3386917827664657E-2</v>
      </c>
      <c r="D93" s="6">
        <f t="shared" si="17"/>
        <v>0.33333333333333331</v>
      </c>
      <c r="E93" s="6">
        <f t="shared" si="25"/>
        <v>0.5</v>
      </c>
      <c r="F93" s="8">
        <f t="shared" si="20"/>
        <v>0.31205000000000038</v>
      </c>
      <c r="G93" s="8">
        <f t="shared" si="21"/>
        <v>-0.38950081000000097</v>
      </c>
      <c r="H93">
        <f t="shared" si="18"/>
        <v>62.410000000000075</v>
      </c>
      <c r="I93">
        <f t="shared" si="18"/>
        <v>-77.900162000000194</v>
      </c>
      <c r="J93">
        <f t="shared" si="22"/>
        <v>-15.490162000000119</v>
      </c>
      <c r="K93">
        <f t="shared" si="23"/>
        <v>293.61500000000012</v>
      </c>
      <c r="L93">
        <f t="shared" si="26"/>
        <v>122.09983799999981</v>
      </c>
      <c r="M93">
        <f t="shared" si="24"/>
        <v>0.49786424565101223</v>
      </c>
      <c r="N93">
        <f t="shared" si="27"/>
        <v>207.4911047468411</v>
      </c>
      <c r="O93">
        <f t="shared" si="28"/>
        <v>146.18041048682201</v>
      </c>
      <c r="P93">
        <f t="shared" si="29"/>
        <v>61.310694260019098</v>
      </c>
      <c r="Q93">
        <f t="shared" si="30"/>
        <v>207.4911047468411</v>
      </c>
      <c r="R93" s="4"/>
    </row>
    <row r="94" spans="2:18" x14ac:dyDescent="0.3">
      <c r="B94">
        <f t="shared" si="31"/>
        <v>0.80000000000000049</v>
      </c>
      <c r="C94">
        <f t="shared" si="19"/>
        <v>1.0986942630593188E-2</v>
      </c>
      <c r="D94" s="6">
        <f t="shared" si="17"/>
        <v>0.33333333333333331</v>
      </c>
      <c r="E94" s="6">
        <f t="shared" si="25"/>
        <v>0.5</v>
      </c>
      <c r="F94" s="8">
        <f t="shared" si="20"/>
        <v>0.3200000000000004</v>
      </c>
      <c r="G94" s="8">
        <f t="shared" si="21"/>
        <v>-0.40960000000000102</v>
      </c>
      <c r="H94">
        <f t="shared" si="18"/>
        <v>64.000000000000085</v>
      </c>
      <c r="I94">
        <f t="shared" si="18"/>
        <v>-81.920000000000201</v>
      </c>
      <c r="J94">
        <f t="shared" si="22"/>
        <v>-17.920000000000115</v>
      </c>
      <c r="K94">
        <f t="shared" si="23"/>
        <v>296.00000000000011</v>
      </c>
      <c r="L94">
        <f t="shared" si="26"/>
        <v>118.0799999999998</v>
      </c>
      <c r="M94">
        <f t="shared" si="24"/>
        <v>0.49824328160587006</v>
      </c>
      <c r="N94">
        <f t="shared" si="27"/>
        <v>206.72744466331633</v>
      </c>
      <c r="O94">
        <f t="shared" si="28"/>
        <v>147.48001135533758</v>
      </c>
      <c r="P94">
        <f t="shared" si="29"/>
        <v>59.24743330797876</v>
      </c>
      <c r="Q94">
        <f t="shared" si="30"/>
        <v>206.72744466331633</v>
      </c>
      <c r="R94" s="7"/>
    </row>
    <row r="95" spans="2:18" x14ac:dyDescent="0.3">
      <c r="B95">
        <f t="shared" si="31"/>
        <v>0.8100000000000005</v>
      </c>
      <c r="C95">
        <f t="shared" si="19"/>
        <v>9.0132986528477232E-3</v>
      </c>
      <c r="D95" s="6">
        <f t="shared" si="17"/>
        <v>0.33333333333333331</v>
      </c>
      <c r="E95" s="6">
        <f t="shared" si="25"/>
        <v>0.5</v>
      </c>
      <c r="F95" s="8">
        <f t="shared" si="20"/>
        <v>0.3280500000000004</v>
      </c>
      <c r="G95" s="8">
        <f t="shared" si="21"/>
        <v>-0.43046721000000104</v>
      </c>
      <c r="H95">
        <f t="shared" si="18"/>
        <v>65.610000000000085</v>
      </c>
      <c r="I95">
        <f t="shared" si="18"/>
        <v>-86.093442000000209</v>
      </c>
      <c r="J95">
        <f t="shared" si="22"/>
        <v>-20.483442000000124</v>
      </c>
      <c r="K95">
        <f t="shared" si="23"/>
        <v>298.41500000000013</v>
      </c>
      <c r="L95">
        <f t="shared" si="26"/>
        <v>113.90655799999979</v>
      </c>
      <c r="M95">
        <f t="shared" si="24"/>
        <v>0.49855584358435623</v>
      </c>
      <c r="N95">
        <f t="shared" si="27"/>
        <v>205.89431994974521</v>
      </c>
      <c r="O95">
        <f t="shared" si="28"/>
        <v>148.77654206322572</v>
      </c>
      <c r="P95">
        <f t="shared" si="29"/>
        <v>57.117777886519491</v>
      </c>
      <c r="Q95">
        <f t="shared" si="30"/>
        <v>205.89431994974521</v>
      </c>
      <c r="R95" s="4"/>
    </row>
    <row r="96" spans="2:18" x14ac:dyDescent="0.3">
      <c r="B96">
        <f t="shared" si="31"/>
        <v>0.82000000000000051</v>
      </c>
      <c r="C96">
        <f t="shared" si="19"/>
        <v>7.3915413442818823E-3</v>
      </c>
      <c r="D96" s="6">
        <f t="shared" si="17"/>
        <v>0.33333333333333331</v>
      </c>
      <c r="E96" s="6">
        <f t="shared" si="25"/>
        <v>0.5</v>
      </c>
      <c r="F96" s="8">
        <f t="shared" si="20"/>
        <v>0.33620000000000039</v>
      </c>
      <c r="G96" s="8">
        <f t="shared" si="21"/>
        <v>-0.45212176000000104</v>
      </c>
      <c r="H96">
        <f t="shared" si="18"/>
        <v>67.24000000000008</v>
      </c>
      <c r="I96">
        <f t="shared" si="18"/>
        <v>-90.424352000000212</v>
      </c>
      <c r="J96">
        <f t="shared" si="22"/>
        <v>-23.184352000000132</v>
      </c>
      <c r="K96">
        <f t="shared" si="23"/>
        <v>300.86000000000013</v>
      </c>
      <c r="L96">
        <f t="shared" si="26"/>
        <v>109.57564799999979</v>
      </c>
      <c r="M96">
        <f t="shared" si="24"/>
        <v>0.49881334643473846</v>
      </c>
      <c r="N96">
        <f t="shared" si="27"/>
        <v>204.99083574172042</v>
      </c>
      <c r="O96">
        <f t="shared" si="28"/>
        <v>150.07298340835547</v>
      </c>
      <c r="P96">
        <f t="shared" si="29"/>
        <v>54.917852333364941</v>
      </c>
      <c r="Q96">
        <f t="shared" si="30"/>
        <v>204.99083574172042</v>
      </c>
      <c r="R96" s="4"/>
    </row>
    <row r="97" spans="2:18" x14ac:dyDescent="0.3">
      <c r="B97">
        <f t="shared" si="31"/>
        <v>0.83000000000000052</v>
      </c>
      <c r="C97">
        <f t="shared" si="19"/>
        <v>6.059801491584027E-3</v>
      </c>
      <c r="D97" s="6">
        <f t="shared" si="17"/>
        <v>0.33333333333333331</v>
      </c>
      <c r="E97" s="6">
        <f t="shared" si="25"/>
        <v>0.5</v>
      </c>
      <c r="F97" s="8">
        <f t="shared" si="20"/>
        <v>0.34445000000000042</v>
      </c>
      <c r="G97" s="8">
        <f t="shared" si="21"/>
        <v>-0.47458321000000114</v>
      </c>
      <c r="H97">
        <f t="shared" si="18"/>
        <v>68.890000000000086</v>
      </c>
      <c r="I97">
        <f t="shared" si="18"/>
        <v>-94.916642000000223</v>
      </c>
      <c r="J97">
        <f t="shared" si="22"/>
        <v>-26.026642000000138</v>
      </c>
      <c r="K97">
        <f t="shared" si="23"/>
        <v>303.33500000000015</v>
      </c>
      <c r="L97">
        <f t="shared" si="26"/>
        <v>105.08335799999978</v>
      </c>
      <c r="M97">
        <f t="shared" si="24"/>
        <v>0.49902532097485325</v>
      </c>
      <c r="N97">
        <f t="shared" si="27"/>
        <v>204.01594728284167</v>
      </c>
      <c r="O97">
        <f t="shared" si="28"/>
        <v>151.37184573790719</v>
      </c>
      <c r="P97">
        <f t="shared" si="29"/>
        <v>52.644101544934479</v>
      </c>
      <c r="Q97">
        <f t="shared" si="30"/>
        <v>204.01594728284167</v>
      </c>
      <c r="R97" s="4"/>
    </row>
    <row r="98" spans="2:18" x14ac:dyDescent="0.3">
      <c r="B98">
        <f t="shared" si="31"/>
        <v>0.84000000000000052</v>
      </c>
      <c r="C98">
        <f t="shared" si="19"/>
        <v>4.9668016500568068E-3</v>
      </c>
      <c r="D98" s="6">
        <f t="shared" si="17"/>
        <v>0.33333333333333331</v>
      </c>
      <c r="E98" s="6">
        <f t="shared" si="25"/>
        <v>0.5</v>
      </c>
      <c r="F98" s="8">
        <f t="shared" si="20"/>
        <v>0.35280000000000045</v>
      </c>
      <c r="G98" s="8">
        <f t="shared" si="21"/>
        <v>-0.49787136000000126</v>
      </c>
      <c r="H98">
        <f t="shared" si="18"/>
        <v>70.560000000000088</v>
      </c>
      <c r="I98">
        <f t="shared" si="18"/>
        <v>-99.574272000000249</v>
      </c>
      <c r="J98">
        <f t="shared" si="22"/>
        <v>-29.014272000000162</v>
      </c>
      <c r="K98">
        <f t="shared" si="23"/>
        <v>305.84000000000015</v>
      </c>
      <c r="L98">
        <f t="shared" si="26"/>
        <v>100.42572799999975</v>
      </c>
      <c r="M98">
        <f t="shared" si="24"/>
        <v>0.49919970053311657</v>
      </c>
      <c r="N98">
        <f t="shared" si="27"/>
        <v>202.96847106762812</v>
      </c>
      <c r="O98">
        <f t="shared" si="28"/>
        <v>152.67523641104845</v>
      </c>
      <c r="P98">
        <f t="shared" si="29"/>
        <v>50.293234656579656</v>
      </c>
      <c r="Q98">
        <f t="shared" si="30"/>
        <v>202.96847106762812</v>
      </c>
      <c r="R98" s="4"/>
    </row>
    <row r="99" spans="2:18" x14ac:dyDescent="0.3">
      <c r="B99">
        <f t="shared" si="31"/>
        <v>0.85000000000000053</v>
      </c>
      <c r="C99">
        <f t="shared" si="19"/>
        <v>4.0701377158960383E-3</v>
      </c>
      <c r="D99" s="6">
        <f t="shared" si="17"/>
        <v>0.33333333333333331</v>
      </c>
      <c r="E99" s="6">
        <f t="shared" si="25"/>
        <v>0.5</v>
      </c>
      <c r="F99" s="8">
        <f t="shared" si="20"/>
        <v>0.36125000000000046</v>
      </c>
      <c r="G99" s="8">
        <f t="shared" si="21"/>
        <v>-0.52200625000000134</v>
      </c>
      <c r="H99">
        <f t="shared" si="18"/>
        <v>72.250000000000085</v>
      </c>
      <c r="I99">
        <f t="shared" si="18"/>
        <v>-104.40125000000026</v>
      </c>
      <c r="J99">
        <f t="shared" si="22"/>
        <v>-32.151250000000175</v>
      </c>
      <c r="K99">
        <f t="shared" si="23"/>
        <v>308.37500000000011</v>
      </c>
      <c r="L99">
        <f t="shared" si="26"/>
        <v>95.59874999999974</v>
      </c>
      <c r="M99">
        <f t="shared" si="24"/>
        <v>0.49934307203199541</v>
      </c>
      <c r="N99">
        <f t="shared" si="27"/>
        <v>201.84709633044781</v>
      </c>
      <c r="O99">
        <f t="shared" si="28"/>
        <v>153.98491983786664</v>
      </c>
      <c r="P99">
        <f t="shared" si="29"/>
        <v>47.862176492581156</v>
      </c>
      <c r="Q99">
        <f t="shared" si="30"/>
        <v>201.84709633044781</v>
      </c>
      <c r="R99" s="4"/>
    </row>
    <row r="100" spans="2:18" x14ac:dyDescent="0.3">
      <c r="B100">
        <f t="shared" si="31"/>
        <v>0.86000000000000054</v>
      </c>
      <c r="C100">
        <f t="shared" si="19"/>
        <v>3.3348073074133122E-3</v>
      </c>
      <c r="D100" s="6">
        <f t="shared" si="17"/>
        <v>0.33333333333333331</v>
      </c>
      <c r="E100" s="6">
        <f t="shared" si="25"/>
        <v>0.5</v>
      </c>
      <c r="F100" s="8">
        <f t="shared" si="20"/>
        <v>0.36980000000000046</v>
      </c>
      <c r="G100" s="8">
        <f t="shared" si="21"/>
        <v>-0.54700816000000141</v>
      </c>
      <c r="H100">
        <f t="shared" si="18"/>
        <v>73.960000000000093</v>
      </c>
      <c r="I100">
        <f t="shared" si="18"/>
        <v>-109.40163200000028</v>
      </c>
      <c r="J100">
        <f t="shared" si="22"/>
        <v>-35.441632000000183</v>
      </c>
      <c r="K100">
        <f t="shared" si="23"/>
        <v>310.94000000000017</v>
      </c>
      <c r="L100">
        <f t="shared" si="26"/>
        <v>90.598367999999724</v>
      </c>
      <c r="M100">
        <f t="shared" si="24"/>
        <v>0.49946089309752933</v>
      </c>
      <c r="N100">
        <f t="shared" si="27"/>
        <v>200.65039630528707</v>
      </c>
      <c r="O100">
        <f t="shared" si="28"/>
        <v>155.30237009974584</v>
      </c>
      <c r="P100">
        <f t="shared" si="29"/>
        <v>45.348026205541245</v>
      </c>
      <c r="Q100">
        <f t="shared" si="30"/>
        <v>200.65039630528707</v>
      </c>
      <c r="R100" s="4"/>
    </row>
    <row r="101" spans="2:18" x14ac:dyDescent="0.3">
      <c r="B101">
        <f t="shared" si="31"/>
        <v>0.87000000000000055</v>
      </c>
      <c r="C101">
        <f t="shared" si="19"/>
        <v>2.7319607630109655E-3</v>
      </c>
      <c r="D101" s="6">
        <f t="shared" si="17"/>
        <v>0.33333333333333331</v>
      </c>
      <c r="E101" s="6">
        <f t="shared" si="25"/>
        <v>0.5</v>
      </c>
      <c r="F101" s="8">
        <f t="shared" si="20"/>
        <v>0.37845000000000045</v>
      </c>
      <c r="G101" s="8">
        <f t="shared" si="21"/>
        <v>-0.57289761000000139</v>
      </c>
      <c r="H101">
        <f t="shared" si="18"/>
        <v>75.690000000000097</v>
      </c>
      <c r="I101">
        <f t="shared" si="18"/>
        <v>-114.57952200000028</v>
      </c>
      <c r="J101">
        <f t="shared" si="22"/>
        <v>-38.889522000000184</v>
      </c>
      <c r="K101">
        <f t="shared" si="23"/>
        <v>313.53500000000014</v>
      </c>
      <c r="L101">
        <f t="shared" si="26"/>
        <v>85.420477999999719</v>
      </c>
      <c r="M101">
        <f t="shared" si="24"/>
        <v>0.49955767787672112</v>
      </c>
      <c r="N101">
        <f t="shared" si="27"/>
        <v>199.37683890027816</v>
      </c>
      <c r="O101">
        <f t="shared" si="28"/>
        <v>156.62881653307784</v>
      </c>
      <c r="P101">
        <f t="shared" si="29"/>
        <v>42.748022367200313</v>
      </c>
      <c r="Q101">
        <f t="shared" si="30"/>
        <v>199.37683890027816</v>
      </c>
      <c r="R101" s="4"/>
    </row>
    <row r="102" spans="2:18" x14ac:dyDescent="0.3">
      <c r="B102">
        <f t="shared" si="31"/>
        <v>0.88000000000000056</v>
      </c>
      <c r="C102">
        <f t="shared" si="19"/>
        <v>2.2378485212761756E-3</v>
      </c>
      <c r="D102" s="6">
        <f t="shared" si="17"/>
        <v>0.33333333333333331</v>
      </c>
      <c r="E102" s="6">
        <f t="shared" si="25"/>
        <v>0.5</v>
      </c>
      <c r="F102" s="8">
        <f t="shared" si="20"/>
        <v>0.38720000000000049</v>
      </c>
      <c r="G102" s="8">
        <f t="shared" si="21"/>
        <v>-0.59969536000000156</v>
      </c>
      <c r="H102">
        <f t="shared" si="18"/>
        <v>77.440000000000097</v>
      </c>
      <c r="I102">
        <f t="shared" si="18"/>
        <v>-119.93907200000031</v>
      </c>
      <c r="J102">
        <f t="shared" si="22"/>
        <v>-42.499072000000211</v>
      </c>
      <c r="K102">
        <f t="shared" si="23"/>
        <v>316.16000000000014</v>
      </c>
      <c r="L102">
        <f t="shared" si="26"/>
        <v>80.060927999999691</v>
      </c>
      <c r="M102">
        <f t="shared" si="24"/>
        <v>0.49963715480095583</v>
      </c>
      <c r="N102">
        <f t="shared" si="27"/>
        <v>198.02479658522594</v>
      </c>
      <c r="O102">
        <f t="shared" si="28"/>
        <v>157.96528286187026</v>
      </c>
      <c r="P102">
        <f t="shared" si="29"/>
        <v>40.059513723355664</v>
      </c>
      <c r="Q102">
        <f t="shared" si="30"/>
        <v>198.02479658522594</v>
      </c>
      <c r="R102" s="4"/>
    </row>
    <row r="103" spans="2:18" x14ac:dyDescent="0.3">
      <c r="B103">
        <f t="shared" si="31"/>
        <v>0.89000000000000057</v>
      </c>
      <c r="C103">
        <f t="shared" si="19"/>
        <v>1.8329389424928122E-3</v>
      </c>
      <c r="D103" s="6">
        <f t="shared" si="17"/>
        <v>0.33333333333333331</v>
      </c>
      <c r="E103" s="6">
        <f t="shared" si="25"/>
        <v>0.5</v>
      </c>
      <c r="F103" s="8">
        <f t="shared" si="20"/>
        <v>0.39605000000000051</v>
      </c>
      <c r="G103" s="8">
        <f t="shared" si="21"/>
        <v>-0.62742241000000165</v>
      </c>
      <c r="H103">
        <f t="shared" si="18"/>
        <v>79.210000000000107</v>
      </c>
      <c r="I103">
        <f t="shared" si="18"/>
        <v>-125.48448200000033</v>
      </c>
      <c r="J103">
        <f t="shared" si="22"/>
        <v>-46.274482000000219</v>
      </c>
      <c r="K103">
        <f t="shared" si="23"/>
        <v>318.81500000000017</v>
      </c>
      <c r="L103">
        <f t="shared" si="26"/>
        <v>74.515517999999673</v>
      </c>
      <c r="M103">
        <f t="shared" si="24"/>
        <v>0.49970239968163271</v>
      </c>
      <c r="N103">
        <f t="shared" si="27"/>
        <v>196.59255539637977</v>
      </c>
      <c r="O103">
        <f t="shared" si="28"/>
        <v>159.31262055449983</v>
      </c>
      <c r="P103">
        <f t="shared" si="29"/>
        <v>37.279934841879935</v>
      </c>
      <c r="Q103">
        <f t="shared" si="30"/>
        <v>196.59255539637977</v>
      </c>
      <c r="R103" s="4"/>
    </row>
    <row r="104" spans="2:18" x14ac:dyDescent="0.3">
      <c r="B104">
        <f t="shared" si="31"/>
        <v>0.90000000000000058</v>
      </c>
      <c r="C104">
        <f t="shared" si="19"/>
        <v>1.5011822567370103E-3</v>
      </c>
      <c r="D104" s="6">
        <f t="shared" si="17"/>
        <v>0.33333333333333331</v>
      </c>
      <c r="E104" s="6">
        <f t="shared" si="25"/>
        <v>0.5</v>
      </c>
      <c r="F104" s="8">
        <f t="shared" si="20"/>
        <v>0.40500000000000053</v>
      </c>
      <c r="G104" s="8">
        <f t="shared" si="21"/>
        <v>-0.65610000000000168</v>
      </c>
      <c r="H104">
        <f t="shared" si="18"/>
        <v>81.000000000000099</v>
      </c>
      <c r="I104">
        <f t="shared" si="18"/>
        <v>-131.22000000000034</v>
      </c>
      <c r="J104">
        <f t="shared" si="22"/>
        <v>-50.22000000000024</v>
      </c>
      <c r="K104">
        <f t="shared" si="23"/>
        <v>321.50000000000011</v>
      </c>
      <c r="L104">
        <f t="shared" si="26"/>
        <v>68.77999999999966</v>
      </c>
      <c r="M104">
        <f t="shared" si="24"/>
        <v>0.49975594742562957</v>
      </c>
      <c r="N104">
        <f t="shared" si="27"/>
        <v>195.07832303340498</v>
      </c>
      <c r="O104">
        <f t="shared" si="28"/>
        <v>160.67153709733995</v>
      </c>
      <c r="P104">
        <f t="shared" si="29"/>
        <v>34.406785936065027</v>
      </c>
      <c r="Q104">
        <f t="shared" si="30"/>
        <v>195.07832303340498</v>
      </c>
      <c r="R104" s="4"/>
    </row>
    <row r="105" spans="2:18" x14ac:dyDescent="0.3">
      <c r="B105">
        <f t="shared" si="31"/>
        <v>0.91000000000000059</v>
      </c>
      <c r="C105">
        <f t="shared" si="19"/>
        <v>1.2293986212773556E-3</v>
      </c>
      <c r="D105" s="6">
        <f t="shared" si="17"/>
        <v>0.33333333333333331</v>
      </c>
      <c r="E105" s="6">
        <f t="shared" si="25"/>
        <v>0.5</v>
      </c>
      <c r="F105" s="8">
        <f t="shared" si="20"/>
        <v>0.41405000000000053</v>
      </c>
      <c r="G105" s="8">
        <f t="shared" si="21"/>
        <v>-0.68574961000000179</v>
      </c>
      <c r="H105">
        <f t="shared" si="18"/>
        <v>82.810000000000102</v>
      </c>
      <c r="I105">
        <f t="shared" si="18"/>
        <v>-137.14992200000034</v>
      </c>
      <c r="J105">
        <f t="shared" si="22"/>
        <v>-54.339922000000243</v>
      </c>
      <c r="K105">
        <f t="shared" si="23"/>
        <v>324.21500000000015</v>
      </c>
      <c r="L105">
        <f t="shared" si="26"/>
        <v>62.850077999999655</v>
      </c>
      <c r="M105">
        <f t="shared" si="24"/>
        <v>0.49979988542197079</v>
      </c>
      <c r="N105">
        <f t="shared" si="27"/>
        <v>193.48023606892224</v>
      </c>
      <c r="O105">
        <f t="shared" si="28"/>
        <v>162.04261985208433</v>
      </c>
      <c r="P105">
        <f t="shared" si="29"/>
        <v>31.437616216837903</v>
      </c>
      <c r="Q105">
        <f t="shared" si="30"/>
        <v>193.48023606892224</v>
      </c>
      <c r="R105" s="4"/>
    </row>
    <row r="106" spans="2:18" x14ac:dyDescent="0.3">
      <c r="B106">
        <f t="shared" si="31"/>
        <v>0.9200000000000006</v>
      </c>
      <c r="C106">
        <f t="shared" si="19"/>
        <v>1.0067708200856007E-3</v>
      </c>
      <c r="D106" s="6">
        <f t="shared" si="17"/>
        <v>0.33333333333333331</v>
      </c>
      <c r="E106" s="6">
        <f t="shared" si="25"/>
        <v>0.5</v>
      </c>
      <c r="F106" s="8">
        <f t="shared" si="20"/>
        <v>0.42320000000000052</v>
      </c>
      <c r="G106" s="8">
        <f t="shared" si="21"/>
        <v>-0.71639296000000174</v>
      </c>
      <c r="H106">
        <f t="shared" si="18"/>
        <v>84.6400000000001</v>
      </c>
      <c r="I106">
        <f t="shared" si="18"/>
        <v>-143.27859200000034</v>
      </c>
      <c r="J106">
        <f t="shared" si="22"/>
        <v>-58.638592000000244</v>
      </c>
      <c r="K106">
        <f t="shared" si="23"/>
        <v>326.96000000000015</v>
      </c>
      <c r="L106">
        <f t="shared" si="26"/>
        <v>56.721407999999656</v>
      </c>
      <c r="M106">
        <f t="shared" si="24"/>
        <v>0.49983593134833848</v>
      </c>
      <c r="N106">
        <f t="shared" si="27"/>
        <v>191.79636631858355</v>
      </c>
      <c r="O106">
        <f t="shared" si="28"/>
        <v>163.42635611365282</v>
      </c>
      <c r="P106">
        <f t="shared" si="29"/>
        <v>28.370010204930729</v>
      </c>
      <c r="Q106">
        <f t="shared" si="30"/>
        <v>191.79636631858355</v>
      </c>
      <c r="R106" s="4"/>
    </row>
    <row r="107" spans="2:18" x14ac:dyDescent="0.3">
      <c r="B107">
        <f t="shared" si="31"/>
        <v>0.9300000000000006</v>
      </c>
      <c r="C107">
        <f t="shared" si="19"/>
        <v>8.2442468639831734E-4</v>
      </c>
      <c r="D107" s="6">
        <f t="shared" si="17"/>
        <v>0.33333333333333331</v>
      </c>
      <c r="E107" s="6">
        <f t="shared" si="25"/>
        <v>0.5</v>
      </c>
      <c r="F107" s="8">
        <f t="shared" si="20"/>
        <v>0.43245000000000056</v>
      </c>
      <c r="G107" s="8">
        <f t="shared" si="21"/>
        <v>-0.74805201000000188</v>
      </c>
      <c r="H107">
        <f t="shared" si="18"/>
        <v>86.490000000000109</v>
      </c>
      <c r="I107">
        <f t="shared" si="18"/>
        <v>-149.61040200000036</v>
      </c>
      <c r="J107">
        <f t="shared" si="22"/>
        <v>-63.120402000000254</v>
      </c>
      <c r="K107">
        <f t="shared" si="23"/>
        <v>329.73500000000013</v>
      </c>
      <c r="L107">
        <f t="shared" si="26"/>
        <v>50.389597999999637</v>
      </c>
      <c r="M107">
        <f t="shared" si="24"/>
        <v>0.49986549782182116</v>
      </c>
      <c r="N107">
        <f t="shared" si="27"/>
        <v>190.02472643496662</v>
      </c>
      <c r="O107">
        <f t="shared" si="28"/>
        <v>164.82314992427825</v>
      </c>
      <c r="P107">
        <f t="shared" si="29"/>
        <v>25.201576510688376</v>
      </c>
      <c r="Q107">
        <f t="shared" si="30"/>
        <v>190.02472643496662</v>
      </c>
      <c r="R107" s="4"/>
    </row>
    <row r="108" spans="2:18" x14ac:dyDescent="0.3">
      <c r="B108">
        <f t="shared" si="31"/>
        <v>0.94000000000000061</v>
      </c>
      <c r="C108">
        <f t="shared" si="19"/>
        <v>6.7508273063277002E-4</v>
      </c>
      <c r="D108" s="6">
        <f t="shared" si="17"/>
        <v>0.33333333333333331</v>
      </c>
      <c r="E108" s="6">
        <f t="shared" si="25"/>
        <v>0.5</v>
      </c>
      <c r="F108" s="8">
        <f t="shared" si="20"/>
        <v>0.44180000000000058</v>
      </c>
      <c r="G108" s="8">
        <f t="shared" si="21"/>
        <v>-0.78074896000000205</v>
      </c>
      <c r="H108">
        <f t="shared" si="18"/>
        <v>88.360000000000113</v>
      </c>
      <c r="I108">
        <f t="shared" si="18"/>
        <v>-156.14979200000042</v>
      </c>
      <c r="J108">
        <f t="shared" si="22"/>
        <v>-67.789792000000304</v>
      </c>
      <c r="K108">
        <f t="shared" si="23"/>
        <v>332.54000000000019</v>
      </c>
      <c r="L108">
        <f t="shared" si="26"/>
        <v>43.850207999999583</v>
      </c>
      <c r="M108">
        <f t="shared" si="24"/>
        <v>0.49988974599963892</v>
      </c>
      <c r="N108">
        <f t="shared" si="27"/>
        <v>188.16327479556847</v>
      </c>
      <c r="O108">
        <f t="shared" si="28"/>
        <v>166.23333613472002</v>
      </c>
      <c r="P108">
        <f t="shared" si="29"/>
        <v>21.929938660848453</v>
      </c>
      <c r="Q108">
        <f t="shared" si="30"/>
        <v>188.16327479556847</v>
      </c>
      <c r="R108" s="4"/>
    </row>
    <row r="109" spans="2:18" x14ac:dyDescent="0.3">
      <c r="B109">
        <f t="shared" si="31"/>
        <v>0.95000000000000062</v>
      </c>
      <c r="C109">
        <f t="shared" si="19"/>
        <v>5.5277863692360096E-4</v>
      </c>
      <c r="D109" s="6">
        <f t="shared" si="17"/>
        <v>0.33333333333333331</v>
      </c>
      <c r="E109" s="6">
        <f t="shared" si="25"/>
        <v>0.5</v>
      </c>
      <c r="F109" s="8">
        <f t="shared" si="20"/>
        <v>0.4512500000000006</v>
      </c>
      <c r="G109" s="8">
        <f t="shared" si="21"/>
        <v>-0.8145062500000021</v>
      </c>
      <c r="H109">
        <f t="shared" si="18"/>
        <v>90.250000000000114</v>
      </c>
      <c r="I109">
        <f t="shared" si="18"/>
        <v>-162.90125000000043</v>
      </c>
      <c r="J109">
        <f t="shared" si="22"/>
        <v>-72.651250000000317</v>
      </c>
      <c r="K109">
        <f t="shared" si="23"/>
        <v>335.37500000000017</v>
      </c>
      <c r="L109">
        <f t="shared" si="26"/>
        <v>37.098749999999569</v>
      </c>
      <c r="M109">
        <f t="shared" si="24"/>
        <v>0.49990962993777116</v>
      </c>
      <c r="N109">
        <f t="shared" si="27"/>
        <v>186.20991975672598</v>
      </c>
      <c r="O109">
        <f t="shared" si="28"/>
        <v>167.65719214038009</v>
      </c>
      <c r="P109">
        <f t="shared" si="29"/>
        <v>18.552727616345894</v>
      </c>
      <c r="Q109">
        <f t="shared" si="30"/>
        <v>186.20991975672598</v>
      </c>
      <c r="R109" s="4"/>
    </row>
    <row r="110" spans="2:18" x14ac:dyDescent="0.3">
      <c r="B110">
        <f t="shared" si="31"/>
        <v>0.96000000000000063</v>
      </c>
      <c r="C110">
        <f t="shared" si="19"/>
        <v>4.5262222324049528E-4</v>
      </c>
      <c r="D110" s="6">
        <f t="shared" si="17"/>
        <v>0.33333333333333331</v>
      </c>
      <c r="E110" s="6">
        <f t="shared" si="25"/>
        <v>0.5</v>
      </c>
      <c r="F110" s="8">
        <f t="shared" si="20"/>
        <v>0.4608000000000006</v>
      </c>
      <c r="G110" s="8">
        <f t="shared" si="21"/>
        <v>-0.84934656000000219</v>
      </c>
      <c r="H110">
        <f t="shared" si="18"/>
        <v>92.160000000000124</v>
      </c>
      <c r="I110">
        <f t="shared" si="18"/>
        <v>-169.86931200000043</v>
      </c>
      <c r="J110">
        <f t="shared" si="22"/>
        <v>-77.70931200000031</v>
      </c>
      <c r="K110">
        <f t="shared" si="23"/>
        <v>338.24000000000018</v>
      </c>
      <c r="L110">
        <f t="shared" si="26"/>
        <v>30.130687999999566</v>
      </c>
      <c r="M110">
        <f t="shared" si="24"/>
        <v>0.4999259332459865</v>
      </c>
      <c r="N110">
        <f t="shared" si="27"/>
        <v>184.16252334337872</v>
      </c>
      <c r="O110">
        <f t="shared" si="28"/>
        <v>169.09494766112257</v>
      </c>
      <c r="P110">
        <f t="shared" si="29"/>
        <v>15.067575682256138</v>
      </c>
      <c r="Q110">
        <f t="shared" si="30"/>
        <v>184.16252334337872</v>
      </c>
      <c r="R110" s="4"/>
    </row>
    <row r="111" spans="2:18" x14ac:dyDescent="0.3">
      <c r="B111">
        <f t="shared" si="31"/>
        <v>0.97000000000000064</v>
      </c>
      <c r="C111">
        <f t="shared" si="19"/>
        <v>3.7060614062645048E-4</v>
      </c>
      <c r="D111" s="6">
        <f t="shared" si="17"/>
        <v>0.33333333333333331</v>
      </c>
      <c r="E111" s="6">
        <f t="shared" si="25"/>
        <v>0.5</v>
      </c>
      <c r="F111" s="8">
        <f t="shared" si="20"/>
        <v>0.47045000000000065</v>
      </c>
      <c r="G111" s="8">
        <f t="shared" si="21"/>
        <v>-0.88529281000000248</v>
      </c>
      <c r="H111">
        <f t="shared" si="18"/>
        <v>94.090000000000131</v>
      </c>
      <c r="I111">
        <f t="shared" si="18"/>
        <v>-177.05856200000051</v>
      </c>
      <c r="J111">
        <f t="shared" si="22"/>
        <v>-82.968562000000375</v>
      </c>
      <c r="K111">
        <f t="shared" si="23"/>
        <v>341.13500000000022</v>
      </c>
      <c r="L111">
        <f t="shared" si="26"/>
        <v>22.941437999999494</v>
      </c>
      <c r="M111">
        <f t="shared" si="24"/>
        <v>0.49993929933945996</v>
      </c>
      <c r="N111">
        <f t="shared" si="27"/>
        <v>182.01890444060686</v>
      </c>
      <c r="O111">
        <f t="shared" si="28"/>
        <v>170.54679288016678</v>
      </c>
      <c r="P111">
        <f t="shared" si="29"/>
        <v>11.472111560440084</v>
      </c>
      <c r="Q111">
        <f t="shared" si="30"/>
        <v>182.01890444060686</v>
      </c>
      <c r="R111" s="4"/>
    </row>
    <row r="112" spans="2:18" x14ac:dyDescent="0.3">
      <c r="B112">
        <f t="shared" si="31"/>
        <v>0.98000000000000065</v>
      </c>
      <c r="C112">
        <f t="shared" si="19"/>
        <v>3.03447030028825E-4</v>
      </c>
      <c r="D112" s="6">
        <f t="shared" si="17"/>
        <v>0.33333333333333331</v>
      </c>
      <c r="E112" s="6">
        <f t="shared" si="25"/>
        <v>0.5</v>
      </c>
      <c r="F112" s="8">
        <f t="shared" si="20"/>
        <v>0.48020000000000063</v>
      </c>
      <c r="G112" s="8">
        <f t="shared" si="21"/>
        <v>-0.92236816000000243</v>
      </c>
      <c r="H112">
        <f t="shared" si="18"/>
        <v>96.04000000000012</v>
      </c>
      <c r="I112">
        <f t="shared" si="18"/>
        <v>-184.47363200000049</v>
      </c>
      <c r="J112">
        <f t="shared" si="22"/>
        <v>-88.433632000000372</v>
      </c>
      <c r="K112">
        <f t="shared" si="23"/>
        <v>344.06000000000017</v>
      </c>
      <c r="L112">
        <f t="shared" si="26"/>
        <v>15.526367999999508</v>
      </c>
      <c r="M112">
        <f t="shared" si="24"/>
        <v>0.49995025637976875</v>
      </c>
      <c r="N112">
        <f t="shared" si="27"/>
        <v>179.77684154777643</v>
      </c>
      <c r="O112">
        <f t="shared" si="28"/>
        <v>172.01288521002331</v>
      </c>
      <c r="P112">
        <f t="shared" si="29"/>
        <v>7.7639563377531164</v>
      </c>
      <c r="Q112">
        <f t="shared" si="30"/>
        <v>179.77684154777643</v>
      </c>
      <c r="R112" s="4"/>
    </row>
    <row r="113" spans="2:18" x14ac:dyDescent="0.3">
      <c r="B113">
        <f t="shared" si="31"/>
        <v>0.99000000000000066</v>
      </c>
      <c r="C113">
        <f t="shared" si="19"/>
        <v>2.4845508183946041E-4</v>
      </c>
      <c r="D113" s="6">
        <f t="shared" si="17"/>
        <v>0.33333333333333331</v>
      </c>
      <c r="E113" s="6">
        <f t="shared" si="25"/>
        <v>0.5</v>
      </c>
      <c r="F113" s="8">
        <f t="shared" si="20"/>
        <v>0.49005000000000065</v>
      </c>
      <c r="G113" s="8">
        <f t="shared" si="21"/>
        <v>-0.96059601000000261</v>
      </c>
      <c r="H113">
        <f t="shared" si="18"/>
        <v>98.010000000000133</v>
      </c>
      <c r="I113">
        <f t="shared" si="18"/>
        <v>-192.11920200000051</v>
      </c>
      <c r="J113">
        <f t="shared" si="22"/>
        <v>-94.10920200000038</v>
      </c>
      <c r="K113">
        <f t="shared" si="23"/>
        <v>347.01500000000021</v>
      </c>
      <c r="L113">
        <f t="shared" si="26"/>
        <v>7.880797999999487</v>
      </c>
      <c r="M113">
        <f t="shared" si="24"/>
        <v>0.49995923781974438</v>
      </c>
      <c r="N113">
        <f t="shared" si="27"/>
        <v>177.43407515052709</v>
      </c>
      <c r="O113">
        <f t="shared" si="28"/>
        <v>173.4933549120187</v>
      </c>
      <c r="P113">
        <f t="shared" si="29"/>
        <v>3.9407202385083777</v>
      </c>
      <c r="Q113">
        <f t="shared" si="30"/>
        <v>177.43407515052709</v>
      </c>
      <c r="R113" s="4"/>
    </row>
    <row r="114" spans="2:18" x14ac:dyDescent="0.3">
      <c r="B114">
        <f t="shared" si="31"/>
        <v>1.0000000000000007</v>
      </c>
      <c r="C114">
        <f t="shared" si="19"/>
        <v>2.0342697805519894E-4</v>
      </c>
      <c r="D114" s="6">
        <f t="shared" si="17"/>
        <v>0.33333333333333331</v>
      </c>
      <c r="E114" s="6">
        <f t="shared" si="25"/>
        <v>0.5</v>
      </c>
      <c r="F114" s="8">
        <f t="shared" si="20"/>
        <v>0.50000000000000067</v>
      </c>
      <c r="G114" s="8">
        <f t="shared" si="21"/>
        <v>-1.0000000000000027</v>
      </c>
      <c r="H114">
        <f t="shared" si="18"/>
        <v>100.00000000000013</v>
      </c>
      <c r="I114">
        <f t="shared" si="18"/>
        <v>-200.00000000000054</v>
      </c>
      <c r="J114">
        <f t="shared" si="22"/>
        <v>-100.00000000000041</v>
      </c>
      <c r="K114">
        <f t="shared" si="23"/>
        <v>350.00000000000023</v>
      </c>
      <c r="L114">
        <f t="shared" si="26"/>
        <v>-5.4001247917767614E-13</v>
      </c>
      <c r="M114">
        <f t="shared" si="24"/>
        <v>0.49996659931476289</v>
      </c>
      <c r="N114">
        <f t="shared" si="27"/>
        <v>174.98830976016683</v>
      </c>
      <c r="O114">
        <f t="shared" si="28"/>
        <v>174.98830976016711</v>
      </c>
      <c r="P114">
        <f t="shared" si="29"/>
        <v>-2.7002427637567925E-13</v>
      </c>
      <c r="Q114">
        <f t="shared" si="30"/>
        <v>174.98830976016683</v>
      </c>
      <c r="R114" s="7"/>
    </row>
    <row r="115" spans="2:18" x14ac:dyDescent="0.3">
      <c r="D115" s="6"/>
      <c r="E115" s="6"/>
    </row>
    <row r="116" spans="2:18" x14ac:dyDescent="0.3">
      <c r="D116" s="6"/>
      <c r="E116" s="6"/>
    </row>
    <row r="117" spans="2:18" x14ac:dyDescent="0.3">
      <c r="D117" s="6"/>
      <c r="E117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Graph</vt:lpstr>
      <vt:lpstr>Scenario 7</vt:lpstr>
      <vt:lpstr>Scenario 7a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Atanas Djondjourov</dc:creator>
  <cp:lastModifiedBy>Atanas Djondjourov</cp:lastModifiedBy>
  <dcterms:created xsi:type="dcterms:W3CDTF">2025-07-11T12:42:42Z</dcterms:created>
  <dcterms:modified xsi:type="dcterms:W3CDTF">2026-05-12T13:12:34Z</dcterms:modified>
</cp:coreProperties>
</file>